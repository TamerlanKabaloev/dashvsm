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baloevts\Downloads\"/>
    </mc:Choice>
  </mc:AlternateContent>
  <xr:revisionPtr revIDLastSave="0" documentId="8_{1C1668E0-9CE1-48AA-B1D7-AB6E046E1896}" xr6:coauthVersionLast="47" xr6:coauthVersionMax="47" xr10:uidLastSave="{00000000-0000-0000-0000-000000000000}"/>
  <bookViews>
    <workbookView xWindow="19200" yWindow="0" windowWidth="19200" windowHeight="21000" xr2:uid="{E07852EA-EA2D-49A5-97CB-80DD76554514}"/>
  </bookViews>
  <sheets>
    <sheet name="Лист7" sheetId="2" r:id="rId1"/>
  </sheets>
  <externalReferences>
    <externalReference r:id="rId2"/>
  </externalReferences>
  <definedNames>
    <definedName name="solver_adj" localSheetId="0" hidden="1">Лист7!$F$3:$F$4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Лист7!$B$10</definedName>
    <definedName name="solver_lhs2" localSheetId="0" hidden="1">Лист7!$B$11</definedName>
    <definedName name="solver_lhs3" localSheetId="0" hidden="1">Лист7!$B$12</definedName>
    <definedName name="solver_lhs4" localSheetId="0" hidden="1">Лист7!$B$9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Лист7!$B$13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hs1" localSheetId="0" hidden="1">Лист7!$C$10</definedName>
    <definedName name="solver_rhs2" localSheetId="0" hidden="1">Лист7!$C$11</definedName>
    <definedName name="solver_rhs3" localSheetId="0" hidden="1">Лист7!$C$12</definedName>
    <definedName name="solver_rhs4" localSheetId="0" hidden="1">Лист7!$C$9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7931</definedName>
    <definedName name="solver_ver" localSheetId="0" hidden="1">3</definedName>
  </definedNames>
  <calcPr calcId="191029" iterate="1" iterateCount="2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2" l="1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O33" i="2"/>
  <c r="N33" i="2"/>
  <c r="M33" i="2"/>
  <c r="L33" i="2"/>
  <c r="K33" i="2"/>
  <c r="J33" i="2"/>
  <c r="I33" i="2"/>
  <c r="H33" i="2"/>
  <c r="G33" i="2"/>
  <c r="F33" i="2"/>
  <c r="E33" i="2"/>
  <c r="D33" i="2"/>
  <c r="B16" i="2" s="1"/>
  <c r="B17" i="2" s="1"/>
  <c r="C33" i="2"/>
  <c r="B33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M27" i="2" s="1"/>
  <c r="I13" i="2"/>
  <c r="H13" i="2"/>
  <c r="H14" i="2" s="1"/>
  <c r="K12" i="2"/>
  <c r="G12" i="2"/>
  <c r="K11" i="2"/>
  <c r="G11" i="2"/>
  <c r="K10" i="2"/>
  <c r="G10" i="2"/>
  <c r="K9" i="2"/>
  <c r="G9" i="2"/>
  <c r="B4" i="2"/>
  <c r="B4" i="2" a="1"/>
  <c r="I3" i="2"/>
  <c r="I2" i="2"/>
  <c r="J2" i="2" s="1"/>
  <c r="C11" i="2" l="1"/>
  <c r="C10" i="2"/>
  <c r="C9" i="2"/>
  <c r="C12" i="2"/>
  <c r="B5" i="2"/>
  <c r="B6" i="2"/>
  <c r="B11" i="2" l="1"/>
  <c r="J11" i="2" s="1"/>
  <c r="B9" i="2"/>
  <c r="B10" i="2"/>
  <c r="J10" i="2" s="1"/>
  <c r="B12" i="2"/>
  <c r="J12" i="2" s="1"/>
  <c r="C13" i="2"/>
  <c r="B13" i="2" l="1"/>
  <c r="J9" i="2"/>
  <c r="B41" i="2" l="1"/>
  <c r="B37" i="2"/>
  <c r="B40" i="2" s="1"/>
  <c r="C42" i="2" l="1"/>
  <c r="L45" i="2"/>
  <c r="F49" i="2"/>
  <c r="E46" i="2"/>
  <c r="F45" i="2"/>
  <c r="O46" i="2"/>
  <c r="G46" i="2"/>
  <c r="D47" i="2"/>
  <c r="G49" i="2"/>
  <c r="K47" i="2"/>
  <c r="L46" i="2"/>
  <c r="G48" i="2"/>
  <c r="D42" i="2"/>
  <c r="G44" i="2"/>
  <c r="H49" i="2"/>
  <c r="C49" i="2"/>
  <c r="D48" i="2"/>
  <c r="M49" i="2"/>
  <c r="J43" i="2"/>
  <c r="M45" i="2"/>
  <c r="C48" i="2"/>
  <c r="H43" i="2"/>
  <c r="J49" i="2"/>
  <c r="L42" i="2"/>
  <c r="B45" i="2"/>
  <c r="K48" i="2"/>
  <c r="F44" i="2"/>
  <c r="N44" i="2"/>
  <c r="I42" i="2"/>
  <c r="D44" i="2"/>
  <c r="N47" i="2"/>
  <c r="B43" i="2"/>
  <c r="J48" i="2"/>
  <c r="F46" i="2"/>
  <c r="O43" i="2"/>
  <c r="J45" i="2"/>
  <c r="E42" i="2"/>
  <c r="H44" i="2"/>
  <c r="O42" i="2"/>
  <c r="B47" i="2"/>
  <c r="N45" i="2"/>
  <c r="F47" i="2"/>
  <c r="C43" i="2"/>
  <c r="M47" i="2"/>
  <c r="E43" i="2"/>
  <c r="I46" i="2"/>
  <c r="J46" i="2"/>
  <c r="F43" i="2"/>
  <c r="L44" i="2"/>
  <c r="H47" i="2"/>
  <c r="G45" i="2"/>
  <c r="D49" i="2"/>
  <c r="C45" i="2"/>
  <c r="O47" i="2"/>
  <c r="K49" i="2"/>
  <c r="N48" i="2"/>
  <c r="O45" i="2"/>
  <c r="D45" i="2"/>
  <c r="D43" i="2"/>
  <c r="L47" i="2"/>
  <c r="M46" i="2"/>
  <c r="L48" i="2"/>
  <c r="E48" i="2"/>
  <c r="M48" i="2"/>
  <c r="I44" i="2"/>
  <c r="O44" i="2"/>
  <c r="C46" i="2"/>
  <c r="K46" i="2"/>
  <c r="B48" i="2"/>
  <c r="L49" i="2"/>
  <c r="M43" i="2"/>
  <c r="B49" i="2"/>
  <c r="I49" i="2"/>
  <c r="C44" i="2"/>
  <c r="E49" i="2"/>
  <c r="N43" i="2"/>
  <c r="K43" i="2"/>
  <c r="H48" i="2"/>
  <c r="H46" i="2"/>
  <c r="M42" i="2"/>
  <c r="J42" i="2"/>
  <c r="L43" i="2"/>
  <c r="C47" i="2"/>
  <c r="I48" i="2"/>
  <c r="O49" i="2"/>
  <c r="B46" i="2"/>
  <c r="E47" i="2"/>
  <c r="I43" i="2"/>
  <c r="E44" i="2"/>
  <c r="B44" i="2"/>
  <c r="H45" i="2"/>
  <c r="O48" i="2"/>
  <c r="F48" i="2"/>
  <c r="G42" i="2"/>
  <c r="J47" i="2"/>
  <c r="E45" i="2"/>
  <c r="K42" i="2"/>
  <c r="I47" i="2"/>
  <c r="H42" i="2"/>
  <c r="M44" i="2"/>
  <c r="I45" i="2"/>
  <c r="N49" i="2"/>
  <c r="F42" i="2"/>
  <c r="K45" i="2"/>
  <c r="G47" i="2"/>
  <c r="N46" i="2"/>
  <c r="J44" i="2"/>
  <c r="K44" i="2"/>
  <c r="G43" i="2"/>
  <c r="D46" i="2"/>
  <c r="N42" i="2"/>
  <c r="B42" i="2"/>
</calcChain>
</file>

<file path=xl/sharedStrings.xml><?xml version="1.0" encoding="utf-8"?>
<sst xmlns="http://schemas.openxmlformats.org/spreadsheetml/2006/main" count="51" uniqueCount="51">
  <si>
    <t>Год</t>
  </si>
  <si>
    <t>Тариф Эконом</t>
  </si>
  <si>
    <t>Тариф Комфорт</t>
  </si>
  <si>
    <t>Тариф Бизнес</t>
  </si>
  <si>
    <t>Тариф Первый</t>
  </si>
  <si>
    <t>средневзвешенная цена</t>
  </si>
  <si>
    <t>Корреспонденция</t>
  </si>
  <si>
    <t>Целевая цена</t>
  </si>
  <si>
    <t>Билетная часть</t>
  </si>
  <si>
    <t>Плацкартная часть</t>
  </si>
  <si>
    <t>Цена расчет</t>
  </si>
  <si>
    <t>Цена ЦЭИ</t>
  </si>
  <si>
    <t>Цена ЖД</t>
  </si>
  <si>
    <t>Цена авиа</t>
  </si>
  <si>
    <t>Эластичность</t>
  </si>
  <si>
    <t>Коэфф эластичности</t>
  </si>
  <si>
    <t>Продано мест</t>
  </si>
  <si>
    <t>Всего</t>
  </si>
  <si>
    <t>Проверка</t>
  </si>
  <si>
    <t>Коэфф факторные</t>
  </si>
  <si>
    <t>Коэфф матрицы (глубина/загрузка)</t>
  </si>
  <si>
    <t>Итого</t>
  </si>
  <si>
    <t>глубина</t>
  </si>
  <si>
    <t>Матрица коэффициентов K (глубина × загрузка)</t>
  </si>
  <si>
    <t>Kmin</t>
  </si>
  <si>
    <t>Kmax</t>
  </si>
  <si>
    <t>α (вес загрузки)</t>
  </si>
  <si>
    <t>вес влияния загрузки vs глубины</t>
  </si>
  <si>
    <t>гамма</t>
  </si>
  <si>
    <t>вклад загрузки</t>
  </si>
  <si>
    <t>k</t>
  </si>
  <si>
    <t>вклад глубины по экспоненте</t>
  </si>
  <si>
    <t>СРЗНАЧ(K_base,π)</t>
  </si>
  <si>
    <t>Глубина / Загрузка</t>
  </si>
  <si>
    <t>0–9%</t>
  </si>
  <si>
    <t>10–19%</t>
  </si>
  <si>
    <t>20–39%</t>
  </si>
  <si>
    <t>40–49%</t>
  </si>
  <si>
    <t>50–59%</t>
  </si>
  <si>
    <t>60–69%</t>
  </si>
  <si>
    <t>70–79%</t>
  </si>
  <si>
    <t>80–89%</t>
  </si>
  <si>
    <t>90–100%</t>
  </si>
  <si>
    <t>0-1</t>
  </si>
  <si>
    <t>2-3</t>
  </si>
  <si>
    <t>4-6</t>
  </si>
  <si>
    <t>7-14</t>
  </si>
  <si>
    <t>15-30</t>
  </si>
  <si>
    <t>31-60</t>
  </si>
  <si>
    <t>61-90</t>
  </si>
  <si>
    <t>90-120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</si>
</sst>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0000000"/>
  </numFmts>
  <fonts count="5" x14ac:knownFonts="1">
    <font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i/>
      <sz val="8"/>
      <name val="Times New Roman"/>
      <family val="1"/>
      <charset val="204"/>
    </font>
    <font>
      <sz val="11"/>
      <color theme="1"/>
      <name val="Aptos Narrow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9" fontId="3" fillId="0" borderId="0"/>
  </cellStyleXfs>
  <cellXfs count="16">
    <xf numFmtId="0" fontId="0" fillId="0" borderId="0" xfId="0"/>
    <xf numFmtId="0" fontId="2" fillId="0" borderId="0" xfId="1" applyFont="1" applyAlignment="1">
      <alignment horizontal="right"/>
    </xf>
    <xf numFmtId="0" fontId="3" fillId="0" borderId="0" xfId="2"/>
    <xf numFmtId="3" fontId="3" fillId="0" borderId="0" xfId="2" applyNumberFormat="1"/>
    <xf numFmtId="164" fontId="3" fillId="0" borderId="0" xfId="2" applyNumberFormat="1"/>
    <xf numFmtId="0" fontId="3" fillId="0" borderId="0" xfId="2" applyAlignment="1">
      <alignment horizontal="right"/>
    </xf>
    <xf numFmtId="0" fontId="3" fillId="0" borderId="0" xfId="2" applyAlignment="1">
      <alignment horizontal="center"/>
    </xf>
    <xf numFmtId="4" fontId="3" fillId="0" borderId="0" xfId="2" applyNumberFormat="1"/>
    <xf numFmtId="165" fontId="3" fillId="0" borderId="0" xfId="2" applyNumberFormat="1"/>
    <xf numFmtId="9" fontId="3" fillId="0" borderId="0" xfId="3"/>
    <xf numFmtId="2" fontId="3" fillId="0" borderId="0" xfId="2" applyNumberFormat="1"/>
    <xf numFmtId="0" fontId="4" fillId="0" borderId="0" xfId="2" applyFont="1"/>
    <xf numFmtId="9" fontId="3" fillId="0" borderId="0" xfId="2" applyNumberFormat="1"/>
    <xf numFmtId="16" fontId="4" fillId="0" borderId="0" xfId="2" quotePrefix="1" applyNumberFormat="1" applyFont="1"/>
    <xf numFmtId="0" fontId="4" fillId="0" borderId="0" xfId="2" quotePrefix="1" applyFont="1"/>
    <xf numFmtId="166" fontId="3" fillId="0" borderId="0" xfId="2" applyNumberFormat="1"/>
  </cellXfs>
  <cellStyles count="4">
    <cellStyle name="Обычный" xfId="0" builtinId="0"/>
    <cellStyle name="Обычный 2" xfId="1" xr:uid="{25876E16-2482-425B-98D9-E3760D1D1D7C}"/>
    <cellStyle name="Обычный 3" xfId="2" xr:uid="{F43AD5E5-3921-4D86-B38E-DEA4AF069F89}"/>
    <cellStyle name="Процентный 2" xfId="3" xr:uid="{D09AD433-0FF9-495E-B6BF-6FBE8953C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Drop" dropStyle="combo" dx="22" fmlaLink="$H$2" fmlaRange="[1]техлист2!$A$8:$A$50" noThreeD="1" sel="36" val="35"/>
</file>

<file path=xl/ctrlProps/ctrlProp4.xml><?xml version="1.0" encoding="utf-8"?>
<formControlPr xmlns="http://schemas.microsoft.com/office/spreadsheetml/2009/9/main" objectType="Drop" dropStyle="combo" dx="22" fmlaLink="$H$3" fmlaRange="[1]техлист!$M$2:$M$9" noThreeD="1" sel="3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514350</xdr:colOff>
      <xdr:row>4</xdr:row>
      <xdr:rowOff>0</xdr:rowOff>
    </xdr:from>
    <xdr:to>
      <xdr:col>17</xdr:col>
      <xdr:colOff>286183</xdr:colOff>
      <xdr:row>8</xdr:row>
      <xdr:rowOff>95370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F4D3DAD-B959-414D-9B18-04E461FFB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54025" y="838200"/>
          <a:ext cx="3105583" cy="857370"/>
        </a:xfrm>
        <a:prstGeom prst="rect">
          <a:avLst/>
        </a:prstGeom>
        <a:ln>
          <a:prstDash val="solid"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38101</xdr:colOff>
          <xdr:row>1</xdr:row>
          <xdr:rowOff>19050</xdr:rowOff>
        </xdr:from>
        <xdr:to>
          <xdr:col>21</xdr:col>
          <xdr:colOff>152401</xdr:colOff>
          <xdr:row>2</xdr:row>
          <xdr:rowOff>180975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43B68E8B-695B-4963-A8A6-2D09D1A3B2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Aptos Narrow"/>
                </a:rPr>
                <a:t>Парсинг Авиа цен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38100</xdr:colOff>
          <xdr:row>3</xdr:row>
          <xdr:rowOff>47625</xdr:rowOff>
        </xdr:from>
        <xdr:to>
          <xdr:col>21</xdr:col>
          <xdr:colOff>171450</xdr:colOff>
          <xdr:row>5</xdr:row>
          <xdr:rowOff>142875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AC42F457-4516-46E7-B714-2128C4564D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Aptos Narrow"/>
                </a:rPr>
                <a:t>Парсинг цен ЖД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</xdr:row>
          <xdr:rowOff>0</xdr:rowOff>
        </xdr:from>
        <xdr:to>
          <xdr:col>3</xdr:col>
          <xdr:colOff>304801</xdr:colOff>
          <xdr:row>1</xdr:row>
          <xdr:rowOff>200025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BD19C223-DEF3-40C8-9BA9-0C0E28053D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</xdr:row>
          <xdr:rowOff>28575</xdr:rowOff>
        </xdr:from>
        <xdr:to>
          <xdr:col>1</xdr:col>
          <xdr:colOff>1143000</xdr:colOff>
          <xdr:row>2</xdr:row>
          <xdr:rowOff>228600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7E2B0E1A-91BE-4E7D-A96F-17210203D8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baloevts\Documents\&#1056;&#1072;&#1073;&#1086;&#1090;&#1072;\&#1058;&#1072;&#1088;&#1080;&#1092;&#1099;\&#1052;&#1086;&#1076;&#1077;&#1083;&#1100;_&#1090;&#1072;&#1088;&#1080;&#1092;&#1086;&#1074;_&#1042;&#1057;&#1052;%20_v4.xlsx" TargetMode="External"/><Relationship Id="rId1" Type="http://schemas.openxmlformats.org/officeDocument/2006/relationships/externalLinkPath" Target="/Users/kabaloevts/Documents/&#1056;&#1072;&#1073;&#1086;&#1090;&#1072;/&#1058;&#1072;&#1088;&#1080;&#1092;&#1099;/&#1052;&#1086;&#1076;&#1077;&#1083;&#1100;_&#1090;&#1072;&#1088;&#1080;&#1092;&#1086;&#1074;_&#1042;&#1057;&#1052;%20_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параметры"/>
      <sheetName val="Лист7"/>
      <sheetName val="матрицы"/>
      <sheetName val="Лист6"/>
      <sheetName val="Booking curve"/>
      <sheetName val="матрица_из_интернета"/>
      <sheetName val="факторы"/>
      <sheetName val="цены"/>
      <sheetName val="ЦЭИ_тарифы"/>
      <sheetName val="техлист"/>
      <sheetName val="техлист2"/>
      <sheetName val="проверка"/>
      <sheetName val="маршруты"/>
      <sheetName val="Лист1"/>
    </sheetNames>
    <definedNames>
      <definedName name="UpdateAviaData"/>
      <definedName name="UpdateRZDData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D1">
            <v>2022</v>
          </cell>
          <cell r="E1">
            <v>2023</v>
          </cell>
          <cell r="F1">
            <v>2024</v>
          </cell>
          <cell r="G1">
            <v>2025</v>
          </cell>
          <cell r="H1">
            <v>2026</v>
          </cell>
          <cell r="I1">
            <v>2027</v>
          </cell>
          <cell r="J1">
            <v>2028</v>
          </cell>
          <cell r="K1">
            <v>2029</v>
          </cell>
          <cell r="L1">
            <v>2030</v>
          </cell>
          <cell r="M1">
            <v>2031</v>
          </cell>
          <cell r="N1">
            <v>2032</v>
          </cell>
          <cell r="O1">
            <v>2033</v>
          </cell>
          <cell r="P1">
            <v>2034</v>
          </cell>
          <cell r="Q1">
            <v>2035</v>
          </cell>
          <cell r="R1">
            <v>2036</v>
          </cell>
          <cell r="S1">
            <v>2037</v>
          </cell>
          <cell r="T1">
            <v>2038</v>
          </cell>
          <cell r="U1">
            <v>2039</v>
          </cell>
          <cell r="V1">
            <v>2040</v>
          </cell>
          <cell r="W1">
            <v>2041</v>
          </cell>
          <cell r="X1">
            <v>2042</v>
          </cell>
          <cell r="Y1">
            <v>2043</v>
          </cell>
          <cell r="Z1">
            <v>2044</v>
          </cell>
          <cell r="AA1">
            <v>2045</v>
          </cell>
          <cell r="AB1">
            <v>2046</v>
          </cell>
          <cell r="AC1">
            <v>2047</v>
          </cell>
          <cell r="AD1">
            <v>2048</v>
          </cell>
          <cell r="AE1">
            <v>2049</v>
          </cell>
          <cell r="AF1">
            <v>2050</v>
          </cell>
          <cell r="AG1">
            <v>2051</v>
          </cell>
          <cell r="AH1">
            <v>2052</v>
          </cell>
          <cell r="AI1">
            <v>2053</v>
          </cell>
          <cell r="AJ1">
            <v>2054</v>
          </cell>
          <cell r="AK1">
            <v>2055</v>
          </cell>
          <cell r="AL1">
            <v>2056</v>
          </cell>
          <cell r="AM1">
            <v>2057</v>
          </cell>
          <cell r="AN1">
            <v>2058</v>
          </cell>
          <cell r="AO1">
            <v>2059</v>
          </cell>
          <cell r="AP1">
            <v>2060</v>
          </cell>
        </row>
        <row r="2">
          <cell r="C2" t="str">
            <v>Москва - Санкт-ПетербургМосква - Санкт-Петербург</v>
          </cell>
        </row>
        <row r="3">
          <cell r="C3" t="str">
            <v>Москва - Санкт-ПетербургТариф Эконом</v>
          </cell>
          <cell r="D3">
            <v>4425</v>
          </cell>
          <cell r="E3">
            <v>4815.9045000000006</v>
          </cell>
          <cell r="F3">
            <v>5109.0111391779901</v>
          </cell>
          <cell r="G3">
            <v>5419.9568991130927</v>
          </cell>
          <cell r="H3">
            <v>5749.8275082974333</v>
          </cell>
          <cell r="I3">
            <v>6099.7747750694853</v>
          </cell>
          <cell r="J3">
            <v>6471.0206093802153</v>
          </cell>
          <cell r="K3">
            <v>6864.8612893328482</v>
          </cell>
          <cell r="L3">
            <v>7282.6719873937091</v>
          </cell>
          <cell r="M3">
            <v>7688.0384497144723</v>
          </cell>
          <cell r="N3">
            <v>8103.5000475370434</v>
          </cell>
          <cell r="O3">
            <v>8528.7717300317854</v>
          </cell>
          <cell r="P3">
            <v>8976.3616704238557</v>
          </cell>
          <cell r="Q3">
            <v>9447.4411308876988</v>
          </cell>
          <cell r="R3">
            <v>9943.2428414366859</v>
          </cell>
          <cell r="S3">
            <v>10465.064225755281</v>
          </cell>
          <cell r="T3">
            <v>11014.27079632292</v>
          </cell>
          <cell r="U3">
            <v>11592.299727713949</v>
          </cell>
          <cell r="V3">
            <v>12200.663617424379</v>
          </cell>
          <cell r="W3">
            <v>12840.954444066811</v>
          </cell>
          <cell r="X3">
            <v>13514.84773329143</v>
          </cell>
          <cell r="Y3">
            <v>14224.106942334571</v>
          </cell>
          <cell r="Z3">
            <v>14970.588074668291</v>
          </cell>
          <cell r="AA3">
            <v>15756.24453682688</v>
          </cell>
          <cell r="AB3">
            <v>16583.13225011955</v>
          </cell>
          <cell r="AC3">
            <v>17453.415030605829</v>
          </cell>
          <cell r="AD3">
            <v>18369.37025141202</v>
          </cell>
          <cell r="AE3">
            <v>19333.39480220613</v>
          </cell>
          <cell r="AF3">
            <v>20348.01136142591</v>
          </cell>
          <cell r="AG3">
            <v>21415.874997673542</v>
          </cell>
          <cell r="AH3">
            <v>22539.780117551451</v>
          </cell>
          <cell r="AI3">
            <v>23722.667778120551</v>
          </cell>
          <cell r="AJ3">
            <v>24967.633383116321</v>
          </cell>
          <cell r="AK3">
            <v>26277.934783062261</v>
          </cell>
          <cell r="AL3">
            <v>27657.00080047737</v>
          </cell>
          <cell r="AM3">
            <v>29108.440202486421</v>
          </cell>
          <cell r="AN3">
            <v>30636.051144312911</v>
          </cell>
          <cell r="AO3">
            <v>32243.831108366459</v>
          </cell>
          <cell r="AP3">
            <v>33935.98736493352</v>
          </cell>
        </row>
        <row r="4">
          <cell r="C4" t="str">
            <v>Москва - Санкт-ПетербургТариф Комфорт</v>
          </cell>
          <cell r="D4">
            <v>5968</v>
          </cell>
          <cell r="E4">
            <v>6495.2131200000003</v>
          </cell>
          <cell r="F4">
            <v>6890.5262098563262</v>
          </cell>
          <cell r="G4">
            <v>7309.8989319563698</v>
          </cell>
          <cell r="H4">
            <v>7754.7956089308645</v>
          </cell>
          <cell r="I4">
            <v>8226.7696853366506</v>
          </cell>
          <cell r="J4">
            <v>8727.4691518149411</v>
          </cell>
          <cell r="K4">
            <v>9258.6422993759152</v>
          </cell>
          <cell r="L4">
            <v>9822.1438239018407</v>
          </cell>
          <cell r="M4">
            <v>10368.861800654449</v>
          </cell>
          <cell r="N4">
            <v>10929.195092361821</v>
          </cell>
          <cell r="O4">
            <v>11502.759250808969</v>
          </cell>
          <cell r="P4">
            <v>12106.42405629142</v>
          </cell>
          <cell r="Q4">
            <v>12741.769190765601</v>
          </cell>
          <cell r="R4">
            <v>13410.457237896981</v>
          </cell>
          <cell r="S4">
            <v>14114.238033741811</v>
          </cell>
          <cell r="T4">
            <v>14854.95324575258</v>
          </cell>
          <cell r="U4">
            <v>15634.54119208968</v>
          </cell>
          <cell r="V4">
            <v>16455.041913850549</v>
          </cell>
          <cell r="W4">
            <v>17318.60251348943</v>
          </cell>
          <cell r="X4">
            <v>18227.482773397351</v>
          </cell>
          <cell r="Y4">
            <v>19184.06106934524</v>
          </cell>
          <cell r="Z4">
            <v>20190.840594264489</v>
          </cell>
          <cell r="AA4">
            <v>21250.455908651489</v>
          </cell>
          <cell r="AB4">
            <v>22365.679834737519</v>
          </cell>
          <cell r="AC4">
            <v>23539.430712464538</v>
          </cell>
          <cell r="AD4">
            <v>24774.78003625468</v>
          </cell>
          <cell r="AE4">
            <v>26074.960492557329</v>
          </cell>
          <cell r="AF4">
            <v>27443.374419206739</v>
          </cell>
          <cell r="AG4">
            <v>28883.60270872671</v>
          </cell>
          <cell r="AH4">
            <v>30399.414178880681</v>
          </cell>
          <cell r="AI4">
            <v>31994.77543498834</v>
          </cell>
          <cell r="AJ4">
            <v>33673.861249816531</v>
          </cell>
          <cell r="AK4">
            <v>35441.065488206899</v>
          </cell>
          <cell r="AL4">
            <v>37301.012605027987</v>
          </cell>
          <cell r="AM4">
            <v>39258.569746539863</v>
          </cell>
          <cell r="AN4">
            <v>41318.859486838272</v>
          </cell>
          <cell r="AO4">
            <v>43487.27323270755</v>
          </cell>
          <cell r="AP4">
            <v>45769.485331960037</v>
          </cell>
        </row>
        <row r="5">
          <cell r="C5" t="str">
            <v>Москва - Санкт-ПетербургТариф Бизнес</v>
          </cell>
          <cell r="D5">
            <v>12234</v>
          </cell>
          <cell r="E5">
            <v>13314.751560000001</v>
          </cell>
          <cell r="F5">
            <v>14125.116898690059</v>
          </cell>
          <cell r="G5">
            <v>14984.802870903861</v>
          </cell>
          <cell r="H5">
            <v>15896.81123988945</v>
          </cell>
          <cell r="I5">
            <v>16864.326462870071</v>
          </cell>
          <cell r="J5">
            <v>17890.726810205098</v>
          </cell>
          <cell r="K5">
            <v>18979.5961612877</v>
          </cell>
          <cell r="L5">
            <v>20134.73651836715</v>
          </cell>
          <cell r="M5">
            <v>21255.47172741398</v>
          </cell>
          <cell r="N5">
            <v>22404.11741956343</v>
          </cell>
          <cell r="O5">
            <v>23579.885501742119</v>
          </cell>
          <cell r="P5">
            <v>24817.357892873551</v>
          </cell>
          <cell r="Q5">
            <v>26119.772835091549</v>
          </cell>
          <cell r="R5">
            <v>27490.53851347716</v>
          </cell>
          <cell r="S5">
            <v>28933.241974664441</v>
          </cell>
          <cell r="T5">
            <v>30451.658513494829</v>
          </cell>
          <cell r="U5">
            <v>32049.761552283038</v>
          </cell>
          <cell r="V5">
            <v>33731.733038546859</v>
          </cell>
          <cell r="W5">
            <v>35501.974388409799</v>
          </cell>
          <cell r="X5">
            <v>37365.118004313539</v>
          </cell>
          <cell r="Y5">
            <v>39326.039397179913</v>
          </cell>
          <cell r="Z5">
            <v>41389.869944743928</v>
          </cell>
          <cell r="AA5">
            <v>43562.010319444082</v>
          </cell>
          <cell r="AB5">
            <v>45848.144621008512</v>
          </cell>
          <cell r="AC5">
            <v>48254.255250719027</v>
          </cell>
          <cell r="AD5">
            <v>50786.638566276772</v>
          </cell>
          <cell r="AE5">
            <v>53451.921358234977</v>
          </cell>
          <cell r="AF5">
            <v>56257.078191115157</v>
          </cell>
          <cell r="AG5">
            <v>59209.449654584882</v>
          </cell>
          <cell r="AH5">
            <v>62316.761572457493</v>
          </cell>
          <cell r="AI5">
            <v>65587.145219780054</v>
          </cell>
          <cell r="AJ5">
            <v>69029.158600914117</v>
          </cell>
          <cell r="AK5">
            <v>72651.808844290092</v>
          </cell>
          <cell r="AL5">
            <v>76464.575772438446</v>
          </cell>
          <cell r="AM5">
            <v>80477.436708976005</v>
          </cell>
          <cell r="AN5">
            <v>84700.892587463066</v>
          </cell>
          <cell r="AO5">
            <v>89145.995430453142</v>
          </cell>
          <cell r="AP5">
            <v>93824.377270643323</v>
          </cell>
        </row>
        <row r="6">
          <cell r="C6" t="str">
            <v>Москва - Санкт-ПетербургТариф Первый</v>
          </cell>
          <cell r="D6">
            <v>21868</v>
          </cell>
          <cell r="E6">
            <v>23799.81912</v>
          </cell>
          <cell r="F6">
            <v>25248.328947241651</v>
          </cell>
          <cell r="G6">
            <v>26784.998298261042</v>
          </cell>
          <cell r="H6">
            <v>28415.192757389439</v>
          </cell>
          <cell r="I6">
            <v>30144.604470332091</v>
          </cell>
          <cell r="J6">
            <v>31979.272019418429</v>
          </cell>
          <cell r="K6">
            <v>33925.601508504122</v>
          </cell>
          <cell r="L6">
            <v>35990.388931147041</v>
          </cell>
          <cell r="M6">
            <v>37993.677925052223</v>
          </cell>
          <cell r="N6">
            <v>40046.856280122047</v>
          </cell>
          <cell r="O6">
            <v>42148.515297702848</v>
          </cell>
          <cell r="P6">
            <v>44360.469380526301</v>
          </cell>
          <cell r="Q6">
            <v>46688.506813616317</v>
          </cell>
          <cell r="R6">
            <v>49138.719651194908</v>
          </cell>
          <cell r="S6">
            <v>51717.519658489618</v>
          </cell>
          <cell r="T6">
            <v>54431.655090167151</v>
          </cell>
          <cell r="U6">
            <v>57288.228349299126</v>
          </cell>
          <cell r="V6">
            <v>60294.714573070363</v>
          </cell>
          <cell r="W6">
            <v>63458.981193865082</v>
          </cell>
          <cell r="X6">
            <v>66789.308526919122</v>
          </cell>
          <cell r="Y6">
            <v>70294.411438411829</v>
          </cell>
          <cell r="Z6">
            <v>73983.462150699706</v>
          </cell>
          <cell r="AA6">
            <v>77866.114244368422</v>
          </cell>
          <cell r="AB6">
            <v>81952.527919912871</v>
          </cell>
          <cell r="AC6">
            <v>86253.396585149894</v>
          </cell>
          <cell r="AD6">
            <v>90779.974837938571</v>
          </cell>
          <cell r="AE6">
            <v>95544.107917433605</v>
          </cell>
          <cell r="AF6">
            <v>100558.2627009405</v>
          </cell>
          <cell r="AG6">
            <v>105835.5603274859</v>
          </cell>
          <cell r="AH6">
            <v>111389.81053347229</v>
          </cell>
          <cell r="AI6">
            <v>117235.547790269</v>
          </cell>
          <cell r="AJ6">
            <v>123388.0693383023</v>
          </cell>
          <cell r="AK6">
            <v>129863.4752171764</v>
          </cell>
          <cell r="AL6">
            <v>136678.71039657379</v>
          </cell>
          <cell r="AM6">
            <v>143851.609118186</v>
          </cell>
          <cell r="AN6">
            <v>151400.9415647084</v>
          </cell>
          <cell r="AO6">
            <v>159346.4629780243</v>
          </cell>
          <cell r="AP6">
            <v>167708.965355111</v>
          </cell>
        </row>
        <row r="7">
          <cell r="C7" t="str">
            <v>Москва - ТверьМосква - Тверь</v>
          </cell>
        </row>
        <row r="8">
          <cell r="C8" t="str">
            <v>Москва - ТверьТариф Эконом</v>
          </cell>
          <cell r="D8">
            <v>775</v>
          </cell>
          <cell r="E8">
            <v>843.46349999999995</v>
          </cell>
          <cell r="F8">
            <v>894.79856109896991</v>
          </cell>
          <cell r="G8">
            <v>949.25798798025914</v>
          </cell>
          <cell r="H8">
            <v>1007.031936481471</v>
          </cell>
          <cell r="I8">
            <v>1068.322135746633</v>
          </cell>
          <cell r="J8">
            <v>1133.342592603314</v>
          </cell>
          <cell r="K8">
            <v>1202.320338809707</v>
          </cell>
          <cell r="L8">
            <v>1275.496223780819</v>
          </cell>
          <cell r="M8">
            <v>1346.492609836997</v>
          </cell>
          <cell r="N8">
            <v>1419.257070472589</v>
          </cell>
          <cell r="O8">
            <v>1493.7396815309901</v>
          </cell>
          <cell r="P8">
            <v>1572.1311400177369</v>
          </cell>
          <cell r="Q8">
            <v>1654.636582245867</v>
          </cell>
          <cell r="R8">
            <v>1741.471910082131</v>
          </cell>
          <cell r="S8">
            <v>1832.864355923241</v>
          </cell>
          <cell r="T8">
            <v>1929.053077322093</v>
          </cell>
          <cell r="U8">
            <v>2030.2897828199559</v>
          </cell>
          <cell r="V8">
            <v>2136.8393906223482</v>
          </cell>
          <cell r="W8">
            <v>2248.9807218422079</v>
          </cell>
          <cell r="X8">
            <v>2367.0072301244868</v>
          </cell>
          <cell r="Y8">
            <v>2491.2277695614198</v>
          </cell>
          <cell r="Z8">
            <v>2621.9674029080038</v>
          </cell>
          <cell r="AA8">
            <v>2759.5682522126158</v>
          </cell>
          <cell r="AB8">
            <v>2904.390394088734</v>
          </cell>
          <cell r="AC8">
            <v>3056.8128019705109</v>
          </cell>
          <cell r="AD8">
            <v>3217.2343378179239</v>
          </cell>
          <cell r="AE8">
            <v>3386.0747958666088</v>
          </cell>
          <cell r="AF8">
            <v>3563.7760011536889</v>
          </cell>
          <cell r="AG8">
            <v>3750.8029656942349</v>
          </cell>
          <cell r="AH8">
            <v>3947.6451053338678</v>
          </cell>
          <cell r="AI8">
            <v>4154.8175204617892</v>
          </cell>
          <cell r="AJ8">
            <v>4372.8623439356252</v>
          </cell>
          <cell r="AK8">
            <v>4602.3501597453669</v>
          </cell>
          <cell r="AL8">
            <v>4843.8814961288044</v>
          </cell>
          <cell r="AM8">
            <v>5098.0883970456434</v>
          </cell>
          <cell r="AN8">
            <v>5365.6360761225988</v>
          </cell>
          <cell r="AO8">
            <v>5647.2246573975144</v>
          </cell>
          <cell r="AP8">
            <v>5943.5910074177355</v>
          </cell>
        </row>
        <row r="9">
          <cell r="C9" t="str">
            <v>Москва - ТверьТариф Комфорт</v>
          </cell>
          <cell r="D9">
            <v>1160</v>
          </cell>
          <cell r="E9">
            <v>1262.4744000000001</v>
          </cell>
          <cell r="F9">
            <v>1339.311394677168</v>
          </cell>
          <cell r="G9">
            <v>1420.8248594285169</v>
          </cell>
          <cell r="H9">
            <v>1507.2994146045251</v>
          </cell>
          <cell r="I9">
            <v>1599.0370031820571</v>
          </cell>
          <cell r="J9">
            <v>1696.3579450578641</v>
          </cell>
          <cell r="K9">
            <v>1799.602055508723</v>
          </cell>
          <cell r="L9">
            <v>1909.129831723548</v>
          </cell>
          <cell r="M9">
            <v>2015.395390207635</v>
          </cell>
          <cell r="N9">
            <v>2124.3073570944548</v>
          </cell>
          <cell r="O9">
            <v>2235.7910071947722</v>
          </cell>
          <cell r="P9">
            <v>2353.1253192523541</v>
          </cell>
          <cell r="Q9">
            <v>2476.6173360067169</v>
          </cell>
          <cell r="R9">
            <v>2606.5902138003498</v>
          </cell>
          <cell r="S9">
            <v>2743.3840682205928</v>
          </cell>
          <cell r="T9">
            <v>2887.3568641208099</v>
          </cell>
          <cell r="U9">
            <v>3038.885352349871</v>
          </cell>
          <cell r="V9">
            <v>3198.3660556411928</v>
          </cell>
          <cell r="W9">
            <v>3366.2163062412419</v>
          </cell>
          <cell r="X9">
            <v>3542.875337992783</v>
          </cell>
          <cell r="Y9">
            <v>3728.8054357306441</v>
          </cell>
          <cell r="Z9">
            <v>3924.4931449977889</v>
          </cell>
          <cell r="AA9">
            <v>4130.4505452472731</v>
          </cell>
          <cell r="AB9">
            <v>4347.2165898618496</v>
          </cell>
          <cell r="AC9">
            <v>4575.3585164978003</v>
          </cell>
          <cell r="AD9">
            <v>4815.4733314436044</v>
          </cell>
          <cell r="AE9">
            <v>5068.1893718777656</v>
          </cell>
          <cell r="AF9">
            <v>5334.1679501139124</v>
          </cell>
          <cell r="AG9">
            <v>5614.1050841358892</v>
          </cell>
          <cell r="AH9">
            <v>5908.7333189513402</v>
          </cell>
          <cell r="AI9">
            <v>6218.8236435299059</v>
          </cell>
          <cell r="AJ9">
            <v>6545.1875083423574</v>
          </cell>
          <cell r="AK9">
            <v>6888.6789487801634</v>
          </cell>
          <cell r="AL9">
            <v>7250.1968200121464</v>
          </cell>
          <cell r="AM9">
            <v>7630.6871491263837</v>
          </cell>
          <cell r="AN9">
            <v>8031.1456107125368</v>
          </cell>
          <cell r="AO9">
            <v>8452.620132362732</v>
          </cell>
          <cell r="AP9">
            <v>8896.2136369091277</v>
          </cell>
        </row>
        <row r="10">
          <cell r="C10" t="str">
            <v>Москва - ТверьТариф Бизнес</v>
          </cell>
          <cell r="D10">
            <v>2851.371764647015</v>
          </cell>
          <cell r="E10">
            <v>3103.261946335932</v>
          </cell>
          <cell r="F10">
            <v>3292.1333576314578</v>
          </cell>
          <cell r="G10">
            <v>3492.499902312964</v>
          </cell>
          <cell r="H10">
            <v>3705.0611997175138</v>
          </cell>
          <cell r="I10">
            <v>3930.5594495681862</v>
          </cell>
          <cell r="J10">
            <v>4169.7820235108848</v>
          </cell>
          <cell r="K10">
            <v>4423.5642143778496</v>
          </cell>
          <cell r="L10">
            <v>4692.7921527774424</v>
          </cell>
          <cell r="M10">
            <v>4954.0013019291418</v>
          </cell>
          <cell r="N10">
            <v>5221.7155322853932</v>
          </cell>
          <cell r="O10">
            <v>5495.7511634197308</v>
          </cell>
          <cell r="P10">
            <v>5784.1681844759987</v>
          </cell>
          <cell r="Q10">
            <v>6087.7213307972988</v>
          </cell>
          <cell r="R10">
            <v>6407.2049462375417</v>
          </cell>
          <cell r="S10">
            <v>6743.4550618160883</v>
          </cell>
          <cell r="T10">
            <v>7097.3515834601976</v>
          </cell>
          <cell r="U10">
            <v>7469.8205945601894</v>
          </cell>
          <cell r="V10">
            <v>7861.8367793627094</v>
          </cell>
          <cell r="W10">
            <v>8274.4259735436644</v>
          </cell>
          <cell r="X10">
            <v>8708.6678486352357</v>
          </cell>
          <cell r="Y10">
            <v>9165.6987373316133</v>
          </cell>
          <cell r="Z10">
            <v>9646.7146070667786</v>
          </cell>
          <cell r="AA10">
            <v>10152.97418964564</v>
          </cell>
          <cell r="AB10">
            <v>10685.802275118251</v>
          </cell>
          <cell r="AC10">
            <v>11246.59317851645</v>
          </cell>
          <cell r="AD10">
            <v>11836.81438852499</v>
          </cell>
          <cell r="AE10">
            <v>12458.010407634791</v>
          </cell>
          <cell r="AF10">
            <v>13111.80679382746</v>
          </cell>
          <cell r="AG10">
            <v>13799.914414367529</v>
          </cell>
          <cell r="AH10">
            <v>14524.133922833529</v>
          </cell>
          <cell r="AI10">
            <v>15286.360471103841</v>
          </cell>
          <cell r="AJ10">
            <v>16088.58866862737</v>
          </cell>
          <cell r="AK10">
            <v>16932.91780195693</v>
          </cell>
          <cell r="AL10">
            <v>17821.557328203631</v>
          </cell>
          <cell r="AM10">
            <v>18756.832656787759</v>
          </cell>
          <cell r="AN10">
            <v>19741.191234615981</v>
          </cell>
          <cell r="AO10">
            <v>20777.20895060863</v>
          </cell>
          <cell r="AP10">
            <v>21867.596876336571</v>
          </cell>
        </row>
        <row r="11">
          <cell r="C11" t="str">
            <v>Санкт-Петербург - Великий НовгородСанкт-Петербург - Великий Новгород</v>
          </cell>
        </row>
        <row r="12">
          <cell r="C12" t="str">
            <v>Санкт-Петербург - Великий НовгородТариф Эконом</v>
          </cell>
          <cell r="D12">
            <v>859.08208801291482</v>
          </cell>
          <cell r="E12">
            <v>934.97339966797574</v>
          </cell>
          <cell r="F12">
            <v>991.877956412716</v>
          </cell>
          <cell r="G12">
            <v>1052.2458508090569</v>
          </cell>
          <cell r="H12">
            <v>1116.287869275086</v>
          </cell>
          <cell r="I12">
            <v>1184.2276271582371</v>
          </cell>
          <cell r="J12">
            <v>1256.3023495324201</v>
          </cell>
          <cell r="K12">
            <v>1332.763699516179</v>
          </cell>
          <cell r="L12">
            <v>1413.878657004147</v>
          </cell>
          <cell r="M12">
            <v>1492.5776551648089</v>
          </cell>
          <cell r="N12">
            <v>1573.236551649916</v>
          </cell>
          <cell r="O12">
            <v>1655.800005880503</v>
          </cell>
          <cell r="P12">
            <v>1742.696390189112</v>
          </cell>
          <cell r="Q12">
            <v>1834.153096746237</v>
          </cell>
          <cell r="R12">
            <v>1930.409451263479</v>
          </cell>
          <cell r="S12">
            <v>2031.7173392657869</v>
          </cell>
          <cell r="T12">
            <v>2138.3418652304549</v>
          </cell>
          <cell r="U12">
            <v>2250.5620463177502</v>
          </cell>
          <cell r="V12">
            <v>2368.6715425085058</v>
          </cell>
          <cell r="W12">
            <v>2492.9794250593532</v>
          </cell>
          <cell r="X12">
            <v>2623.8109852864668</v>
          </cell>
          <cell r="Y12">
            <v>2761.5085857943009</v>
          </cell>
          <cell r="Z12">
            <v>2906.432556376787</v>
          </cell>
          <cell r="AA12">
            <v>3058.96213693544</v>
          </cell>
          <cell r="AB12">
            <v>3219.4964698818121</v>
          </cell>
          <cell r="AC12">
            <v>3388.4556446212091</v>
          </cell>
          <cell r="AD12">
            <v>3566.2817968509298</v>
          </cell>
          <cell r="AE12">
            <v>3753.4402655496669</v>
          </cell>
          <cell r="AF12">
            <v>3950.4208106857141</v>
          </cell>
          <cell r="AG12">
            <v>4157.7388948304997</v>
          </cell>
          <cell r="AH12">
            <v>4375.9370320312037</v>
          </cell>
          <cell r="AI12">
            <v>4605.5862074722008</v>
          </cell>
          <cell r="AJ12">
            <v>4847.2873716403428</v>
          </cell>
          <cell r="AK12">
            <v>5101.6730129040288</v>
          </cell>
          <cell r="AL12">
            <v>5369.4088126212328</v>
          </cell>
          <cell r="AM12">
            <v>5651.1953871075939</v>
          </cell>
          <cell r="AN12">
            <v>5947.7701210230007</v>
          </cell>
          <cell r="AO12">
            <v>6259.9090969742883</v>
          </cell>
          <cell r="AP12">
            <v>6588.4291263834984</v>
          </cell>
        </row>
        <row r="13">
          <cell r="C13" t="str">
            <v>Санкт-Петербург - Великий НовгородТариф Комфорт</v>
          </cell>
          <cell r="D13">
            <v>1285.8518994773949</v>
          </cell>
          <cell r="E13">
            <v>1399.4440562772279</v>
          </cell>
          <cell r="F13">
            <v>1484.617328308065</v>
          </cell>
          <cell r="G13">
            <v>1574.974434759363</v>
          </cell>
          <cell r="H13">
            <v>1670.830875302064</v>
          </cell>
          <cell r="I13">
            <v>1772.5213516174911</v>
          </cell>
          <cell r="J13">
            <v>1880.4009360743321</v>
          </cell>
          <cell r="K13">
            <v>1994.8463115338941</v>
          </cell>
          <cell r="L13">
            <v>2116.257086612658</v>
          </cell>
          <cell r="M13">
            <v>2234.051716117649</v>
          </cell>
          <cell r="N13">
            <v>2354.779870856647</v>
          </cell>
          <cell r="O13">
            <v>2478.358718479205</v>
          </cell>
          <cell r="P13">
            <v>2608.4229840249941</v>
          </cell>
          <cell r="Q13">
            <v>2745.313022226625</v>
          </cell>
          <cell r="R13">
            <v>2889.3870496330792</v>
          </cell>
          <cell r="S13">
            <v>3041.0220819978231</v>
          </cell>
          <cell r="T13">
            <v>3200.6149208610691</v>
          </cell>
          <cell r="U13">
            <v>3368.5831919078578</v>
          </cell>
          <cell r="V13">
            <v>3545.3664378191829</v>
          </cell>
          <cell r="W13">
            <v>3731.427268475933</v>
          </cell>
          <cell r="X13">
            <v>3927.2525715255501</v>
          </cell>
          <cell r="Y13">
            <v>4133.3547864792108</v>
          </cell>
          <cell r="Z13">
            <v>4350.2732456736403</v>
          </cell>
          <cell r="AA13">
            <v>4578.5755856065916</v>
          </cell>
          <cell r="AB13">
            <v>4818.8592323392259</v>
          </cell>
          <cell r="AC13">
            <v>5071.7529648523887</v>
          </cell>
          <cell r="AD13">
            <v>5337.9185604478416</v>
          </cell>
          <cell r="AE13">
            <v>5618.0525265001443</v>
          </cell>
          <cell r="AF13">
            <v>5912.8879230908706</v>
          </cell>
          <cell r="AG13">
            <v>6223.1962812946804</v>
          </cell>
          <cell r="AH13">
            <v>6549.7896221370247</v>
          </cell>
          <cell r="AI13">
            <v>6893.5225815067752</v>
          </cell>
          <cell r="AJ13">
            <v>7255.2946465842524</v>
          </cell>
          <cell r="AK13">
            <v>7636.0525096369938</v>
          </cell>
          <cell r="AL13">
            <v>8036.7925453427433</v>
          </cell>
          <cell r="AM13">
            <v>8458.5634181223286</v>
          </cell>
          <cell r="AN13">
            <v>8902.4688263053886</v>
          </cell>
          <cell r="AO13">
            <v>9369.6703903098969</v>
          </cell>
          <cell r="AP13">
            <v>9861.3906923933591</v>
          </cell>
        </row>
        <row r="14">
          <cell r="C14" t="str">
            <v>Санкт-Петербург - Великий НовгородТариф Бизнес</v>
          </cell>
          <cell r="D14">
            <v>3160.1367294883812</v>
          </cell>
          <cell r="E14">
            <v>3439.303208171385</v>
          </cell>
          <cell r="F14">
            <v>3648.6268366738168</v>
          </cell>
          <cell r="G14">
            <v>3870.6903659053651</v>
          </cell>
          <cell r="H14">
            <v>4106.2691745069787</v>
          </cell>
          <cell r="I14">
            <v>4356.185832385042</v>
          </cell>
          <cell r="J14">
            <v>4621.3129728765443</v>
          </cell>
          <cell r="K14">
            <v>4902.576339720611</v>
          </cell>
          <cell r="L14">
            <v>5200.9580194754826</v>
          </cell>
          <cell r="M14">
            <v>5490.4525836523426</v>
          </cell>
          <cell r="N14">
            <v>5787.1566412729162</v>
          </cell>
          <cell r="O14">
            <v>6090.8666218069193</v>
          </cell>
          <cell r="P14">
            <v>6410.5153021193464</v>
          </cell>
          <cell r="Q14">
            <v>6746.9391451745687</v>
          </cell>
          <cell r="R14">
            <v>7101.0185115133308</v>
          </cell>
          <cell r="S14">
            <v>7473.6799629975512</v>
          </cell>
          <cell r="T14">
            <v>7865.8986874556631</v>
          </cell>
          <cell r="U14">
            <v>8278.701050573336</v>
          </cell>
          <cell r="V14">
            <v>8713.1672817074268</v>
          </cell>
          <cell r="W14">
            <v>9170.4343006514318</v>
          </cell>
          <cell r="X14">
            <v>9651.6986927496182</v>
          </cell>
          <cell r="Y14">
            <v>10158.219840145121</v>
          </cell>
          <cell r="Z14">
            <v>10691.323217355941</v>
          </cell>
          <cell r="AA14">
            <v>11252.403859802769</v>
          </cell>
          <cell r="AB14">
            <v>11842.93001436522</v>
          </cell>
          <cell r="AC14">
            <v>12464.44698151911</v>
          </cell>
          <cell r="AD14">
            <v>13118.581159109241</v>
          </cell>
          <cell r="AE14">
            <v>13807.04429833929</v>
          </cell>
          <cell r="AF14">
            <v>14531.637983116139</v>
          </cell>
          <cell r="AG14">
            <v>15294.25834447007</v>
          </cell>
          <cell r="AH14">
            <v>16096.901022387859</v>
          </cell>
          <cell r="AI14">
            <v>16941.66638804277</v>
          </cell>
          <cell r="AJ14">
            <v>17830.765040087259</v>
          </cell>
          <cell r="AK14">
            <v>18766.523589391039</v>
          </cell>
          <cell r="AL14">
            <v>19751.390747362278</v>
          </cell>
          <cell r="AM14">
            <v>20787.94373378385</v>
          </cell>
          <cell r="AN14">
            <v>21878.895020932829</v>
          </cell>
          <cell r="AO14">
            <v>23027.099431631392</v>
          </cell>
          <cell r="AP14">
            <v>24235.561609803412</v>
          </cell>
        </row>
        <row r="15">
          <cell r="C15" t="str">
            <v>Москва - Великий НовгородМосква - Великий Новгород</v>
          </cell>
        </row>
        <row r="16">
          <cell r="C16" t="str">
            <v>Москва - Великий НовгородТариф Эконом</v>
          </cell>
          <cell r="D16">
            <v>3825.395758435589</v>
          </cell>
          <cell r="E16">
            <v>4163.3312197357891</v>
          </cell>
          <cell r="F16">
            <v>4416.7208003642172</v>
          </cell>
          <cell r="G16">
            <v>4685.5322333945614</v>
          </cell>
          <cell r="H16">
            <v>4970.7041270005138</v>
          </cell>
          <cell r="I16">
            <v>5273.2322151329281</v>
          </cell>
          <cell r="J16">
            <v>5594.1728343214363</v>
          </cell>
          <cell r="K16">
            <v>5934.6466120819314</v>
          </cell>
          <cell r="L16">
            <v>6295.8423798087179</v>
          </cell>
          <cell r="M16">
            <v>6646.2801528197651</v>
          </cell>
          <cell r="N16">
            <v>7005.445132278146</v>
          </cell>
          <cell r="O16">
            <v>7373.0908928201034</v>
          </cell>
          <cell r="P16">
            <v>7760.0307028753041</v>
          </cell>
          <cell r="Q16">
            <v>8167.2771141621988</v>
          </cell>
          <cell r="R16">
            <v>8595.8958171134327</v>
          </cell>
          <cell r="S16">
            <v>9047.0084295955457</v>
          </cell>
          <cell r="T16">
            <v>9521.7954319807195</v>
          </cell>
          <cell r="U16">
            <v>10021.499256251071</v>
          </cell>
          <cell r="V16">
            <v>10547.42753721913</v>
          </cell>
          <cell r="W16">
            <v>11100.95653437239</v>
          </cell>
          <cell r="X16">
            <v>11683.53473329625</v>
          </cell>
          <cell r="Y16">
            <v>12296.686636099639</v>
          </cell>
          <cell r="Z16">
            <v>12942.01675076215</v>
          </cell>
          <cell r="AA16">
            <v>13621.21378984215</v>
          </cell>
          <cell r="AB16">
            <v>14336.05508953306</v>
          </cell>
          <cell r="AC16">
            <v>15088.411260631759</v>
          </cell>
          <cell r="AD16">
            <v>15880.25108358971</v>
          </cell>
          <cell r="AE16">
            <v>16713.646660456499</v>
          </cell>
          <cell r="AF16">
            <v>17590.77883719726</v>
          </cell>
          <cell r="AG16">
            <v>18513.942910573369</v>
          </cell>
          <cell r="AH16">
            <v>19485.55463452026</v>
          </cell>
          <cell r="AI16">
            <v>20508.156541739882</v>
          </cell>
          <cell r="AJ16">
            <v>21584.424597050391</v>
          </cell>
          <cell r="AK16">
            <v>22717.175199903599</v>
          </cell>
          <cell r="AL16">
            <v>23909.37255439454</v>
          </cell>
          <cell r="AM16">
            <v>25164.136426049161</v>
          </cell>
          <cell r="AN16">
            <v>26484.750305688231</v>
          </cell>
          <cell r="AO16">
            <v>27874.670001730748</v>
          </cell>
          <cell r="AP16">
            <v>29337.532683421581</v>
          </cell>
        </row>
        <row r="17">
          <cell r="C17" t="str">
            <v>Москва - Великий НовгородТариф Комфорт</v>
          </cell>
          <cell r="D17">
            <v>5159.3134206426203</v>
          </cell>
          <cell r="E17">
            <v>5615.0871682221887</v>
          </cell>
          <cell r="F17">
            <v>5956.833838773704</v>
          </cell>
          <cell r="G17">
            <v>6319.3799703725963</v>
          </cell>
          <cell r="H17">
            <v>6703.9914643930088</v>
          </cell>
          <cell r="I17">
            <v>7112.0112677770194</v>
          </cell>
          <cell r="J17">
            <v>7544.8640621989443</v>
          </cell>
          <cell r="K17">
            <v>8004.0612386225894</v>
          </cell>
          <cell r="L17">
            <v>8491.2061746211111</v>
          </cell>
          <cell r="M17">
            <v>8963.8417970685532</v>
          </cell>
          <cell r="N17">
            <v>9448.2478077821379</v>
          </cell>
          <cell r="O17">
            <v>9944.0918527345439</v>
          </cell>
          <cell r="P17">
            <v>10465.95779316605</v>
          </cell>
          <cell r="Q17">
            <v>11015.21125815141</v>
          </cell>
          <cell r="R17">
            <v>11593.28954497919</v>
          </cell>
          <cell r="S17">
            <v>12201.7053802997</v>
          </cell>
          <cell r="T17">
            <v>12842.05087865783</v>
          </cell>
          <cell r="U17">
            <v>13516.0017087698</v>
          </cell>
          <cell r="V17">
            <v>14225.32147844604</v>
          </cell>
          <cell r="W17">
            <v>14971.866349634891</v>
          </cell>
          <cell r="X17">
            <v>15757.589895663719</v>
          </cell>
          <cell r="Y17">
            <v>16584.54821338816</v>
          </cell>
          <cell r="Z17">
            <v>17454.905303626769</v>
          </cell>
          <cell r="AA17">
            <v>18370.938733961098</v>
          </cell>
          <cell r="AB17">
            <v>19335.045598719382</v>
          </cell>
          <cell r="AC17">
            <v>20349.748791740181</v>
          </cell>
          <cell r="AD17">
            <v>21417.703608330699</v>
          </cell>
          <cell r="AE17">
            <v>22541.704693695901</v>
          </cell>
          <cell r="AF17">
            <v>23724.69335602106</v>
          </cell>
          <cell r="AG17">
            <v>24969.765263345042</v>
          </cell>
          <cell r="AH17">
            <v>26280.17854436539</v>
          </cell>
          <cell r="AI17">
            <v>27659.36231437368</v>
          </cell>
          <cell r="AJ17">
            <v>29110.925648632019</v>
          </cell>
          <cell r="AK17">
            <v>30638.667026672221</v>
          </cell>
          <cell r="AL17">
            <v>32246.584272231979</v>
          </cell>
          <cell r="AM17">
            <v>33938.885014838706</v>
          </cell>
          <cell r="AN17">
            <v>35719.997700417458</v>
          </cell>
          <cell r="AO17">
            <v>37594.583179735368</v>
          </cell>
          <cell r="AP17">
            <v>39567.54690500789</v>
          </cell>
        </row>
        <row r="18">
          <cell r="C18" t="str">
            <v>Москва - Великий НовгородТариф Бизнес</v>
          </cell>
          <cell r="D18">
            <v>10576.246713830729</v>
          </cell>
          <cell r="E18">
            <v>11510.55234853054</v>
          </cell>
          <cell r="F18">
            <v>12211.11011788832</v>
          </cell>
          <cell r="G18">
            <v>12954.30538832747</v>
          </cell>
          <cell r="H18">
            <v>13742.733172819049</v>
          </cell>
          <cell r="I18">
            <v>14579.146422584459</v>
          </cell>
          <cell r="J18">
            <v>15466.46563956801</v>
          </cell>
          <cell r="K18">
            <v>16407.789073945842</v>
          </cell>
          <cell r="L18">
            <v>17406.403542277931</v>
          </cell>
          <cell r="M18">
            <v>18375.274890304401</v>
          </cell>
          <cell r="N18">
            <v>19368.27474537646</v>
          </cell>
          <cell r="O18">
            <v>20384.72180401381</v>
          </cell>
          <cell r="P18">
            <v>21454.512004288459</v>
          </cell>
          <cell r="Q18">
            <v>22580.44479427351</v>
          </cell>
          <cell r="R18">
            <v>23765.466537076991</v>
          </cell>
          <cell r="S18">
            <v>25012.678220942791</v>
          </cell>
          <cell r="T18">
            <v>26325.343573977869</v>
          </cell>
          <cell r="U18">
            <v>27706.897604740228</v>
          </cell>
          <cell r="V18">
            <v>29160.955591037</v>
          </cell>
          <cell r="W18">
            <v>30691.322540454621</v>
          </cell>
          <cell r="X18">
            <v>32302.00314737768</v>
          </cell>
          <cell r="Y18">
            <v>33997.21227255206</v>
          </cell>
          <cell r="Z18">
            <v>35781.385972615601</v>
          </cell>
          <cell r="AA18">
            <v>37659.193108458458</v>
          </cell>
          <cell r="AB18">
            <v>39635.547562790358</v>
          </cell>
          <cell r="AC18">
            <v>41715.621098885596</v>
          </cell>
          <cell r="AD18">
            <v>43904.856894155113</v>
          </cell>
          <cell r="AE18">
            <v>46208.983783960379</v>
          </cell>
          <cell r="AF18">
            <v>48634.031252942623</v>
          </cell>
          <cell r="AG18">
            <v>51186.345213097047</v>
          </cell>
          <cell r="AH18">
            <v>53872.604609880371</v>
          </cell>
          <cell r="AI18">
            <v>56699.838899806891</v>
          </cell>
          <cell r="AJ18">
            <v>59675.446445268768</v>
          </cell>
          <cell r="AK18">
            <v>62807.213874716479</v>
          </cell>
          <cell r="AL18">
            <v>66103.336458861595</v>
          </cell>
          <cell r="AM18">
            <v>69572.439556222642</v>
          </cell>
          <cell r="AN18">
            <v>73223.601184133207</v>
          </cell>
          <cell r="AO18">
            <v>77066.37577427653</v>
          </cell>
          <cell r="AP18">
            <v>81110.819174910561</v>
          </cell>
        </row>
        <row r="19">
          <cell r="C19" t="str">
            <v>Москва - Великий НовгородТариф Первый</v>
          </cell>
          <cell r="D19">
            <v>18904.80326451287</v>
          </cell>
          <cell r="E19">
            <v>20574.853584899942</v>
          </cell>
          <cell r="F19">
            <v>21827.0848502519</v>
          </cell>
          <cell r="G19">
            <v>23155.529690366609</v>
          </cell>
          <cell r="H19">
            <v>24564.82663259824</v>
          </cell>
          <cell r="I19">
            <v>26059.896515373301</v>
          </cell>
          <cell r="J19">
            <v>27645.959670269189</v>
          </cell>
          <cell r="K19">
            <v>29328.554149832231</v>
          </cell>
          <cell r="L19">
            <v>31113.555064781249</v>
          </cell>
          <cell r="M19">
            <v>32845.390820759909</v>
          </cell>
          <cell r="N19">
            <v>34620.355740713778</v>
          </cell>
          <cell r="O19">
            <v>36437.232009986437</v>
          </cell>
          <cell r="P19">
            <v>38349.457945870527</v>
          </cell>
          <cell r="Q19">
            <v>40362.037498869817</v>
          </cell>
          <cell r="R19">
            <v>42480.237226810503</v>
          </cell>
          <cell r="S19">
            <v>44709.600076473522</v>
          </cell>
          <cell r="T19">
            <v>47055.959888486861</v>
          </cell>
          <cell r="U19">
            <v>49525.456663434663</v>
          </cell>
          <cell r="V19">
            <v>52124.552629131722</v>
          </cell>
          <cell r="W19">
            <v>54860.049151108549</v>
          </cell>
          <cell r="X19">
            <v>57739.104530558718</v>
          </cell>
          <cell r="Y19">
            <v>60769.252736322451</v>
          </cell>
          <cell r="Z19">
            <v>63958.423119924679</v>
          </cell>
          <cell r="AA19">
            <v>67314.961165258312</v>
          </cell>
          <cell r="AB19">
            <v>70847.650327211057</v>
          </cell>
          <cell r="AC19">
            <v>74565.7350163831</v>
          </cell>
          <cell r="AD19">
            <v>78478.944790042879</v>
          </cell>
          <cell r="AE19">
            <v>82597.519812624334</v>
          </cell>
          <cell r="AF19">
            <v>86932.237652390875</v>
          </cell>
          <cell r="AG19">
            <v>91494.441484388342</v>
          </cell>
          <cell r="AH19">
            <v>96296.069773489027</v>
          </cell>
          <cell r="AI19">
            <v>101349.6875152017</v>
          </cell>
          <cell r="AJ19">
            <v>106668.5191159995</v>
          </cell>
          <cell r="AK19">
            <v>112266.4829992072</v>
          </cell>
          <cell r="AL19">
            <v>118158.22802700561</v>
          </cell>
          <cell r="AM19">
            <v>124359.1718338629</v>
          </cell>
          <cell r="AN19">
            <v>130885.541171704</v>
          </cell>
          <cell r="AO19">
            <v>137754.41437239511</v>
          </cell>
          <cell r="AP19">
            <v>144983.7660386583</v>
          </cell>
        </row>
        <row r="20">
          <cell r="C20" t="str">
            <v>Тверь - Санкт-ПетербургТверь - Санкт-Петербург</v>
          </cell>
        </row>
        <row r="21">
          <cell r="C21" t="str">
            <v>Тверь - Санкт-ПетербургТариф Эконом</v>
          </cell>
          <cell r="D21">
            <v>3778.5922189305129</v>
          </cell>
          <cell r="E21">
            <v>4112.393055550835</v>
          </cell>
          <cell r="F21">
            <v>4362.6824264242423</v>
          </cell>
          <cell r="G21">
            <v>4628.2049640514097</v>
          </cell>
          <cell r="H21">
            <v>4909.8877927785998</v>
          </cell>
          <cell r="I21">
            <v>5208.7144637980073</v>
          </cell>
          <cell r="J21">
            <v>5525.7283894108641</v>
          </cell>
          <cell r="K21">
            <v>5862.0364863074328</v>
          </cell>
          <cell r="L21">
            <v>6218.8130405851043</v>
          </cell>
          <cell r="M21">
            <v>6564.963223712929</v>
          </cell>
          <cell r="N21">
            <v>6919.7338363223771</v>
          </cell>
          <cell r="O21">
            <v>7282.8814680525747</v>
          </cell>
          <cell r="P21">
            <v>7665.0870874959746</v>
          </cell>
          <cell r="Q21">
            <v>8067.3508578477622</v>
          </cell>
          <cell r="R21">
            <v>8490.7254308676129</v>
          </cell>
          <cell r="S21">
            <v>8936.3187014795458</v>
          </cell>
          <cell r="T21">
            <v>9405.2967069331917</v>
          </cell>
          <cell r="U21">
            <v>9898.8866781130473</v>
          </cell>
          <cell r="V21">
            <v>10418.380250980421</v>
          </cell>
          <cell r="W21">
            <v>10965.13684655187</v>
          </cell>
          <cell r="X21">
            <v>11540.587228258921</v>
          </cell>
          <cell r="Y21">
            <v>12146.23724599794</v>
          </cell>
          <cell r="Z21">
            <v>12783.671776667919</v>
          </cell>
          <cell r="AA21">
            <v>13454.55887150745</v>
          </cell>
          <cell r="AB21">
            <v>14160.654121084161</v>
          </cell>
          <cell r="AC21">
            <v>14903.80524935866</v>
          </cell>
          <cell r="AD21">
            <v>15685.956948845</v>
          </cell>
          <cell r="AE21">
            <v>16509.15596952039</v>
          </cell>
          <cell r="AF21">
            <v>17375.556474800818</v>
          </cell>
          <cell r="AG21">
            <v>18287.425678598371</v>
          </cell>
          <cell r="AH21">
            <v>19247.149778211209</v>
          </cell>
          <cell r="AI21">
            <v>20257.24019857173</v>
          </cell>
          <cell r="AJ21">
            <v>21320.340164192781</v>
          </cell>
          <cell r="AK21">
            <v>22439.23161600962</v>
          </cell>
          <cell r="AL21">
            <v>23616.842491217809</v>
          </cell>
          <cell r="AM21">
            <v>24856.25438515691</v>
          </cell>
          <cell r="AN21">
            <v>26160.710615289951</v>
          </cell>
          <cell r="AO21">
            <v>27533.624708380368</v>
          </cell>
          <cell r="AP21">
            <v>28978.589333076168</v>
          </cell>
        </row>
        <row r="22">
          <cell r="C22" t="str">
            <v>Тверь - Санкт-ПетербургТариф Комфорт</v>
          </cell>
          <cell r="D22">
            <v>5096.189460469448</v>
          </cell>
          <cell r="E22">
            <v>5546.386837407319</v>
          </cell>
          <cell r="F22">
            <v>5883.9522533107074</v>
          </cell>
          <cell r="G22">
            <v>6242.0626498212014</v>
          </cell>
          <cell r="H22">
            <v>6621.9684400684037</v>
          </cell>
          <cell r="I22">
            <v>7024.9961401009059</v>
          </cell>
          <cell r="J22">
            <v>7452.5530006788786</v>
          </cell>
          <cell r="K22">
            <v>7906.1319209678577</v>
          </cell>
          <cell r="L22">
            <v>8387.3166612908281</v>
          </cell>
          <cell r="M22">
            <v>8854.1696088404005</v>
          </cell>
          <cell r="N22">
            <v>9332.6489345021364</v>
          </cell>
          <cell r="O22">
            <v>9822.4263505848085</v>
          </cell>
          <cell r="P22">
            <v>10337.9072854635</v>
          </cell>
          <cell r="Q22">
            <v>10880.440659804621</v>
          </cell>
          <cell r="R22">
            <v>11451.44618563117</v>
          </cell>
          <cell r="S22">
            <v>12052.418081453099</v>
          </cell>
          <cell r="T22">
            <v>12684.928982367761</v>
          </cell>
          <cell r="U22">
            <v>13350.63405536242</v>
          </cell>
          <cell r="V22">
            <v>14051.27533058784</v>
          </cell>
          <cell r="W22">
            <v>14788.686259937091</v>
          </cell>
          <cell r="X22">
            <v>15564.796514858581</v>
          </cell>
          <cell r="Y22">
            <v>16381.63703595836</v>
          </cell>
          <cell r="Z22">
            <v>17241.34534760546</v>
          </cell>
          <cell r="AA22">
            <v>18146.17115144779</v>
          </cell>
          <cell r="AB22">
            <v>19098.482213475771</v>
          </cell>
          <cell r="AC22">
            <v>20100.770560038989</v>
          </cell>
          <cell r="AD22">
            <v>21155.658999029831</v>
          </cell>
          <cell r="AE22">
            <v>22265.907983298919</v>
          </cell>
          <cell r="AF22">
            <v>23434.422834262448</v>
          </cell>
          <cell r="AG22">
            <v>24664.26134460454</v>
          </cell>
          <cell r="AH22">
            <v>25958.641779969381</v>
          </cell>
          <cell r="AI22">
            <v>27320.951300582168</v>
          </cell>
          <cell r="AJ22">
            <v>28754.754824836731</v>
          </cell>
          <cell r="AK22">
            <v>30263.804358044159</v>
          </cell>
          <cell r="AL22">
            <v>31852.048810754321</v>
          </cell>
          <cell r="AM22">
            <v>33523.644332342708</v>
          </cell>
          <cell r="AN22">
            <v>35282.965186904061</v>
          </cell>
          <cell r="AO22">
            <v>37134.615199912791</v>
          </cell>
          <cell r="AP22">
            <v>39083.439805604212</v>
          </cell>
        </row>
        <row r="23">
          <cell r="C23" t="str">
            <v>Тверь - Санкт-ПетербургТариф Бизнес</v>
          </cell>
          <cell r="D23">
            <v>10446.84682630416</v>
          </cell>
          <cell r="E23">
            <v>11369.72127493987</v>
          </cell>
          <cell r="F23">
            <v>12061.707752513939</v>
          </cell>
          <cell r="G23">
            <v>12795.81006332315</v>
          </cell>
          <cell r="H23">
            <v>13574.59147047534</v>
          </cell>
          <cell r="I23">
            <v>14400.771242961529</v>
          </cell>
          <cell r="J23">
            <v>15277.234150520329</v>
          </cell>
          <cell r="K23">
            <v>16207.040536380809</v>
          </cell>
          <cell r="L23">
            <v>17193.437003054951</v>
          </cell>
          <cell r="M23">
            <v>18150.45425511953</v>
          </cell>
          <cell r="N23">
            <v>19131.304803066188</v>
          </cell>
          <cell r="O23">
            <v>20135.315679131101</v>
          </cell>
          <cell r="P23">
            <v>21192.017045971908</v>
          </cell>
          <cell r="Q23">
            <v>22304.174100544511</v>
          </cell>
          <cell r="R23">
            <v>23474.697157341081</v>
          </cell>
          <cell r="S23">
            <v>24706.64926415835</v>
          </cell>
          <cell r="T23">
            <v>26003.25421754138</v>
          </cell>
          <cell r="U23">
            <v>27367.904998877952</v>
          </cell>
          <cell r="V23">
            <v>28804.17265321907</v>
          </cell>
          <cell r="W23">
            <v>30315.815634060011</v>
          </cell>
          <cell r="X23">
            <v>31906.78963853548</v>
          </cell>
          <cell r="Y23">
            <v>33581.257958765818</v>
          </cell>
          <cell r="Z23">
            <v>35343.602376441857</v>
          </cell>
          <cell r="AA23">
            <v>37198.43462915752</v>
          </cell>
          <cell r="AB23">
            <v>39150.608478495713</v>
          </cell>
          <cell r="AC23">
            <v>41205.232411447163</v>
          </cell>
          <cell r="AD23">
            <v>43367.683008399908</v>
          </cell>
          <cell r="AE23">
            <v>45643.619012680741</v>
          </cell>
          <cell r="AF23">
            <v>48038.996138466231</v>
          </cell>
          <cell r="AG23">
            <v>50560.082655812927</v>
          </cell>
          <cell r="AH23">
            <v>53213.475793589991</v>
          </cell>
          <cell r="AI23">
            <v>56006.119003237589</v>
          </cell>
          <cell r="AJ23">
            <v>58945.320128527499</v>
          </cell>
          <cell r="AK23">
            <v>62038.770528872621</v>
          </cell>
          <cell r="AL23">
            <v>65294.56520622786</v>
          </cell>
          <cell r="AM23">
            <v>68721.223988250684</v>
          </cell>
          <cell r="AN23">
            <v>72327.713823154088</v>
          </cell>
          <cell r="AO23">
            <v>76123.472244593228</v>
          </cell>
          <cell r="AP23">
            <v>80118.432067989474</v>
          </cell>
        </row>
        <row r="24">
          <cell r="C24" t="str">
            <v>Тверь - Санкт-ПетербургТариф Первый</v>
          </cell>
          <cell r="D24">
            <v>18673.50387425366</v>
          </cell>
          <cell r="E24">
            <v>20323.121206505231</v>
          </cell>
          <cell r="F24">
            <v>21560.031480462221</v>
          </cell>
          <cell r="G24">
            <v>22872.222859633039</v>
          </cell>
          <cell r="H24">
            <v>24264.27711920506</v>
          </cell>
          <cell r="I24">
            <v>25741.05489137509</v>
          </cell>
          <cell r="J24">
            <v>27307.712637206041</v>
          </cell>
          <cell r="K24">
            <v>28969.720651428452</v>
          </cell>
          <cell r="L24">
            <v>30732.882163054241</v>
          </cell>
          <cell r="M24">
            <v>32443.528988961421</v>
          </cell>
          <cell r="N24">
            <v>34196.777295524887</v>
          </cell>
          <cell r="O24">
            <v>35991.424167994053</v>
          </cell>
          <cell r="P24">
            <v>37880.25410833038</v>
          </cell>
          <cell r="Q24">
            <v>39868.209843935547</v>
          </cell>
          <cell r="R24">
            <v>41960.493496545292</v>
          </cell>
          <cell r="S24">
            <v>44162.580195243987</v>
          </cell>
          <cell r="T24">
            <v>46480.232403890397</v>
          </cell>
          <cell r="U24">
            <v>48919.515000446569</v>
          </cell>
          <cell r="V24">
            <v>51486.811147670007</v>
          </cell>
          <cell r="W24">
            <v>54188.838996699727</v>
          </cell>
          <cell r="X24">
            <v>57032.669267246529</v>
          </cell>
          <cell r="Y24">
            <v>60025.743750391623</v>
          </cell>
          <cell r="Z24">
            <v>63175.894782412193</v>
          </cell>
          <cell r="AA24">
            <v>66491.365740593174</v>
          </cell>
          <cell r="AB24">
            <v>69980.832614659506</v>
          </cell>
          <cell r="AC24">
            <v>73653.42671027685</v>
          </cell>
          <cell r="AD24">
            <v>77518.758544032185</v>
          </cell>
          <cell r="AE24">
            <v>81586.942992423006</v>
          </cell>
          <cell r="AF24">
            <v>85868.625760665367</v>
          </cell>
          <cell r="AG24">
            <v>90375.011240585081</v>
          </cell>
          <cell r="AH24">
            <v>95117.891830490975</v>
          </cell>
          <cell r="AI24">
            <v>100109.6787937551</v>
          </cell>
          <cell r="AJ24">
            <v>105363.4347368514</v>
          </cell>
          <cell r="AK24">
            <v>110892.9077918414</v>
          </cell>
          <cell r="AL24">
            <v>116712.5675927572</v>
          </cell>
          <cell r="AM24">
            <v>122837.6431400251</v>
          </cell>
          <cell r="AN24">
            <v>129284.16265201361</v>
          </cell>
          <cell r="AO24">
            <v>136068.99550799129</v>
          </cell>
          <cell r="AP24">
            <v>143209.8963922507</v>
          </cell>
        </row>
        <row r="25">
          <cell r="C25" t="str">
            <v>Тверь - Великий НовгородТверь - Великий Новгород</v>
          </cell>
        </row>
        <row r="26">
          <cell r="C26" t="str">
            <v>Тверь - Великий НовгородТариф Эконом</v>
          </cell>
          <cell r="D26">
            <v>2695.2126901240072</v>
          </cell>
          <cell r="E26">
            <v>2933.3077791695609</v>
          </cell>
          <cell r="F26">
            <v>3111.8354025530898</v>
          </cell>
          <cell r="G26">
            <v>3301.2286134270662</v>
          </cell>
          <cell r="H26">
            <v>3502.1487155677592</v>
          </cell>
          <cell r="I26">
            <v>3715.2972611673622</v>
          </cell>
          <cell r="J26">
            <v>3941.4185004419278</v>
          </cell>
          <cell r="K26">
            <v>4181.3019803278949</v>
          </cell>
          <cell r="L26">
            <v>4435.7853013410486</v>
          </cell>
          <cell r="M26">
            <v>4682.6889925043461</v>
          </cell>
          <cell r="N26">
            <v>4935.7415056592808</v>
          </cell>
          <cell r="O26">
            <v>5194.7692198762797</v>
          </cell>
          <cell r="P26">
            <v>5467.3907085353876</v>
          </cell>
          <cell r="Q26">
            <v>5754.3193729193245</v>
          </cell>
          <cell r="R26">
            <v>6056.3060536101302</v>
          </cell>
          <cell r="S26">
            <v>6374.14099530359</v>
          </cell>
          <cell r="T26">
            <v>6708.6559147371227</v>
          </cell>
          <cell r="U26">
            <v>7060.7261771425274</v>
          </cell>
          <cell r="V26">
            <v>7431.2730869189681</v>
          </cell>
          <cell r="W26">
            <v>7821.2662985204761</v>
          </cell>
          <cell r="X26">
            <v>8231.7263538668303</v>
          </cell>
          <cell r="Y26">
            <v>8663.7273529177619</v>
          </cell>
          <cell r="Z26">
            <v>9118.3997643988896</v>
          </cell>
          <cell r="AA26">
            <v>9596.9333840345425</v>
          </cell>
          <cell r="AB26">
            <v>10100.580448028681</v>
          </cell>
          <cell r="AC26">
            <v>10630.658909941219</v>
          </cell>
          <cell r="AD26">
            <v>11188.55588953494</v>
          </cell>
          <cell r="AE26">
            <v>11775.731302617731</v>
          </cell>
          <cell r="AF26">
            <v>12393.721681379109</v>
          </cell>
          <cell r="AG26">
            <v>13044.14419521789</v>
          </cell>
          <cell r="AH26">
            <v>13728.70088258292</v>
          </cell>
          <cell r="AI26">
            <v>14449.183104900871</v>
          </cell>
          <cell r="AJ26">
            <v>15207.476234246071</v>
          </cell>
          <cell r="AK26">
            <v>16005.5645870193</v>
          </cell>
          <cell r="AL26">
            <v>16845.53661654608</v>
          </cell>
          <cell r="AM26">
            <v>17729.590378182409</v>
          </cell>
          <cell r="AN26">
            <v>18660.03928122943</v>
          </cell>
          <cell r="AO26">
            <v>19639.318142708351</v>
          </cell>
          <cell r="AP26">
            <v>20669.989558837689</v>
          </cell>
        </row>
        <row r="27">
          <cell r="C27" t="str">
            <v>Тверь - Великий НовгородТариф Комфорт</v>
          </cell>
          <cell r="D27">
            <v>3635.0348778892821</v>
          </cell>
          <cell r="E27">
            <v>3956.1538590020209</v>
          </cell>
          <cell r="F27">
            <v>4196.9341655224507</v>
          </cell>
          <cell r="G27">
            <v>4452.368896029996</v>
          </cell>
          <cell r="H27">
            <v>4723.3499513013312</v>
          </cell>
          <cell r="I27">
            <v>5010.8235151744229</v>
          </cell>
          <cell r="J27">
            <v>5315.7933583361419</v>
          </cell>
          <cell r="K27">
            <v>5639.3243431857354</v>
          </cell>
          <cell r="L27">
            <v>5982.5461420120619</v>
          </cell>
          <cell r="M27">
            <v>6315.5452897776131</v>
          </cell>
          <cell r="N27">
            <v>6656.8373572371956</v>
          </cell>
          <cell r="O27">
            <v>7006.1881817450039</v>
          </cell>
          <cell r="P27">
            <v>7373.8729375229823</v>
          </cell>
          <cell r="Q27">
            <v>7760.8537892841878</v>
          </cell>
          <cell r="R27">
            <v>8168.1433961458224</v>
          </cell>
          <cell r="S27">
            <v>8596.807561575557</v>
          </cell>
          <cell r="T27">
            <v>9047.9680224070435</v>
          </cell>
          <cell r="U27">
            <v>9522.8053842229656</v>
          </cell>
          <cell r="V27">
            <v>10022.562210786989</v>
          </cell>
          <cell r="W27">
            <v>10548.546275609089</v>
          </cell>
          <cell r="X27">
            <v>11102.13398415305</v>
          </cell>
          <cell r="Y27">
            <v>11684.773975641399</v>
          </cell>
          <cell r="Z27">
            <v>12297.99091388307</v>
          </cell>
          <cell r="AA27">
            <v>12943.389477043649</v>
          </cell>
          <cell r="AB27">
            <v>13622.6585567989</v>
          </cell>
          <cell r="AC27">
            <v>14337.57567785971</v>
          </cell>
          <cell r="AD27">
            <v>15090.011649433791</v>
          </cell>
          <cell r="AE27">
            <v>15881.93546079607</v>
          </cell>
          <cell r="AF27">
            <v>16715.41943377865</v>
          </cell>
          <cell r="AG27">
            <v>17592.644645663349</v>
          </cell>
          <cell r="AH27">
            <v>18515.906636667762</v>
          </cell>
          <cell r="AI27">
            <v>19487.62141696009</v>
          </cell>
          <cell r="AJ27">
            <v>20510.331788922151</v>
          </cell>
          <cell r="AK27">
            <v>21586.714001204789</v>
          </cell>
          <cell r="AL27">
            <v>22719.584751988019</v>
          </cell>
          <cell r="AM27">
            <v>23911.90855977235</v>
          </cell>
          <cell r="AN27">
            <v>25166.805520989201</v>
          </cell>
          <cell r="AO27">
            <v>26487.559474730719</v>
          </cell>
          <cell r="AP27">
            <v>27877.626595964579</v>
          </cell>
        </row>
        <row r="28">
          <cell r="C28" t="str">
            <v>Тверь - Великий НовгородТариф Бизнес</v>
          </cell>
          <cell r="D28">
            <v>7451.577864627593</v>
          </cell>
          <cell r="E28">
            <v>8109.8502531887953</v>
          </cell>
          <cell r="F28">
            <v>8603.4337434654281</v>
          </cell>
          <cell r="G28">
            <v>9127.0578207156468</v>
          </cell>
          <cell r="H28">
            <v>9682.550821752764</v>
          </cell>
          <cell r="I28">
            <v>10271.85236002746</v>
          </cell>
          <cell r="J28">
            <v>10897.02009817098</v>
          </cell>
          <cell r="K28">
            <v>11560.23693273028</v>
          </cell>
          <cell r="L28">
            <v>12263.81861618224</v>
          </cell>
          <cell r="M28">
            <v>12946.444550123881</v>
          </cell>
          <cell r="N28">
            <v>13646.070413612581</v>
          </cell>
          <cell r="O28">
            <v>14362.21618891897</v>
          </cell>
          <cell r="P28">
            <v>15115.94529451344</v>
          </cell>
          <cell r="Q28">
            <v>15909.2301035695</v>
          </cell>
          <cell r="R28">
            <v>16744.146499404829</v>
          </cell>
          <cell r="S28">
            <v>17622.879307693602</v>
          </cell>
          <cell r="T28">
            <v>18547.72801376136</v>
          </cell>
          <cell r="U28">
            <v>19521.112779923558</v>
          </cell>
          <cell r="V28">
            <v>20545.580778613948</v>
          </cell>
          <cell r="W28">
            <v>21623.812857875611</v>
          </cell>
          <cell r="X28">
            <v>22758.630556656921</v>
          </cell>
          <cell r="Y28">
            <v>23953.003488270271</v>
          </cell>
          <cell r="Z28">
            <v>25210.05711133471</v>
          </cell>
          <cell r="AA28">
            <v>26533.080908537551</v>
          </cell>
          <cell r="AB28">
            <v>27925.5369946176</v>
          </cell>
          <cell r="AC28">
            <v>29391.06917609513</v>
          </cell>
          <cell r="AD28">
            <v>30933.51248645661</v>
          </cell>
          <cell r="AE28">
            <v>32556.903221745859</v>
          </cell>
          <cell r="AF28">
            <v>34265.489502823082</v>
          </cell>
          <cell r="AG28">
            <v>36063.742391931242</v>
          </cell>
          <cell r="AH28">
            <v>37956.367592659793</v>
          </cell>
          <cell r="AI28">
            <v>39948.317763922583</v>
          </cell>
          <cell r="AJ28">
            <v>42044.805480173243</v>
          </cell>
          <cell r="AK28">
            <v>44251.316871772731</v>
          </cell>
          <cell r="AL28">
            <v>46573.625981203368</v>
          </cell>
          <cell r="AM28">
            <v>49017.809872696918</v>
          </cell>
          <cell r="AN28">
            <v>51590.264534816059</v>
          </cell>
          <cell r="AO28">
            <v>54297.721617603223</v>
          </cell>
          <cell r="AP28">
            <v>57147.266048095029</v>
          </cell>
        </row>
        <row r="29">
          <cell r="C29" t="str">
            <v>Тверь - Великий НовгородТариф Первый</v>
          </cell>
          <cell r="D29">
            <v>13319.52793392809</v>
          </cell>
          <cell r="E29">
            <v>14496.17503161129</v>
          </cell>
          <cell r="F29">
            <v>15378.444425543719</v>
          </cell>
          <cell r="G29">
            <v>16314.41069342895</v>
          </cell>
          <cell r="H29">
            <v>17307.341946222779</v>
          </cell>
          <cell r="I29">
            <v>18360.705199369018</v>
          </cell>
          <cell r="J29">
            <v>19478.178478568159</v>
          </cell>
          <cell r="K29">
            <v>20663.66366233004</v>
          </cell>
          <cell r="L29">
            <v>21921.30010615279</v>
          </cell>
          <cell r="M29">
            <v>23141.478618776291</v>
          </cell>
          <cell r="N29">
            <v>24392.044123334959</v>
          </cell>
          <cell r="O29">
            <v>25672.13859892758</v>
          </cell>
          <cell r="P29">
            <v>27019.412432599311</v>
          </cell>
          <cell r="Q29">
            <v>28437.391197062119</v>
          </cell>
          <cell r="R29">
            <v>29929.78548708394</v>
          </cell>
          <cell r="S29">
            <v>31500.500629446109</v>
          </cell>
          <cell r="T29">
            <v>33153.646902479442</v>
          </cell>
          <cell r="U29">
            <v>34893.550291921572</v>
          </cell>
          <cell r="V29">
            <v>36724.76381124161</v>
          </cell>
          <cell r="W29">
            <v>38652.079416055567</v>
          </cell>
          <cell r="X29">
            <v>40680.540543810159</v>
          </cell>
          <cell r="Y29">
            <v>42815.455311549318</v>
          </cell>
          <cell r="Z29">
            <v>45062.410406299437</v>
          </cell>
          <cell r="AA29">
            <v>47427.285704422022</v>
          </cell>
          <cell r="AB29">
            <v>49916.269658190089</v>
          </cell>
          <cell r="AC29">
            <v>52535.875489851896</v>
          </cell>
          <cell r="AD29">
            <v>55292.95823555933</v>
          </cell>
          <cell r="AE29">
            <v>58194.732683761489</v>
          </cell>
          <cell r="AF29">
            <v>61248.792255005297</v>
          </cell>
          <cell r="AG29">
            <v>64463.128872547983</v>
          </cell>
          <cell r="AH29">
            <v>67846.153875779288</v>
          </cell>
          <cell r="AI29">
            <v>71406.720031180186</v>
          </cell>
          <cell r="AJ29">
            <v>75154.144698416523</v>
          </cell>
          <cell r="AK29">
            <v>79098.234212189418</v>
          </cell>
          <cell r="AL29">
            <v>83249.309543645126</v>
          </cell>
          <cell r="AM29">
            <v>87618.233308495604</v>
          </cell>
          <cell r="AN29">
            <v>92216.438192525471</v>
          </cell>
          <cell r="AO29">
            <v>97055.956868869223</v>
          </cell>
          <cell r="AP29">
            <v>102149.45348534751</v>
          </cell>
        </row>
        <row r="30">
          <cell r="C30" t="str">
            <v>Москва - ЛоговежьМосква - Логовежь</v>
          </cell>
        </row>
        <row r="31">
          <cell r="C31" t="str">
            <v>Москва - ЛоговежьТариф Эконом</v>
          </cell>
          <cell r="D31">
            <v>1466.0191383724109</v>
          </cell>
          <cell r="E31">
            <v>1591.609976206779</v>
          </cell>
          <cell r="F31">
            <v>1688.4788927328709</v>
          </cell>
          <cell r="G31">
            <v>1791.243466567736</v>
          </cell>
          <cell r="H31">
            <v>1900.262520503544</v>
          </cell>
          <cell r="I31">
            <v>2015.916716084186</v>
          </cell>
          <cell r="J31">
            <v>2138.60988276018</v>
          </cell>
          <cell r="K31">
            <v>2268.770427938904</v>
          </cell>
          <cell r="L31">
            <v>2463.4819811284951</v>
          </cell>
          <cell r="M31">
            <v>2660.3849924785982</v>
          </cell>
          <cell r="N31">
            <v>2867.1640022783731</v>
          </cell>
          <cell r="O31">
            <v>3083.9514334404112</v>
          </cell>
          <cell r="P31">
            <v>3315.5962724934702</v>
          </cell>
          <cell r="Q31">
            <v>3560.8942388264791</v>
          </cell>
          <cell r="R31">
            <v>3823.0776646184208</v>
          </cell>
          <cell r="S31">
            <v>4102.7761090510194</v>
          </cell>
          <cell r="T31">
            <v>4401.0169259628674</v>
          </cell>
          <cell r="U31">
            <v>4718.8774711254146</v>
          </cell>
          <cell r="V31">
            <v>5057.486368137811</v>
          </cell>
          <cell r="W31">
            <v>5418.0251459648316</v>
          </cell>
          <cell r="X31">
            <v>5801.7298724524298</v>
          </cell>
          <cell r="Y31">
            <v>6209.8927789386953</v>
          </cell>
          <cell r="Z31">
            <v>6643.8638707500131</v>
          </cell>
          <cell r="AA31">
            <v>7105.0525180397899</v>
          </cell>
          <cell r="AB31">
            <v>7594.9290210910503</v>
          </cell>
          <cell r="AC31">
            <v>8115.0261438662492</v>
          </cell>
          <cell r="AD31">
            <v>8666.9406092483787</v>
          </cell>
          <cell r="AE31">
            <v>9252.3345490787506</v>
          </cell>
          <cell r="AF31">
            <v>9872.9369017597601</v>
          </cell>
          <cell r="AG31">
            <v>10530.54474985773</v>
          </cell>
          <cell r="AH31">
            <v>11227.024589811899</v>
          </cell>
          <cell r="AI31">
            <v>11964.31352553439</v>
          </cell>
          <cell r="AJ31">
            <v>12744.42037737212</v>
          </cell>
          <cell r="AK31">
            <v>13569.42669759974</v>
          </cell>
          <cell r="AL31">
            <v>14441.487683321649</v>
          </cell>
          <cell r="AM31">
            <v>15362.832977386061</v>
          </cell>
          <cell r="AN31">
            <v>16335.767347654581</v>
          </cell>
          <cell r="AO31">
            <v>17364.99910224009</v>
          </cell>
          <cell r="AP31">
            <v>18459.07739767692</v>
          </cell>
        </row>
        <row r="32">
          <cell r="C32" t="str">
            <v>Москва - ЛоговежьТариф Комфорт</v>
          </cell>
          <cell r="D32">
            <v>2014.1160935298469</v>
          </cell>
          <cell r="E32">
            <v>2186.106409432678</v>
          </cell>
          <cell r="F32">
            <v>2319.1576986669802</v>
          </cell>
          <cell r="G32">
            <v>2460.3067847379448</v>
          </cell>
          <cell r="H32">
            <v>2610.0465175381578</v>
          </cell>
          <cell r="I32">
            <v>2768.8997428988</v>
          </cell>
          <cell r="J32">
            <v>2937.42112820905</v>
          </cell>
          <cell r="K32">
            <v>3116.1990991467578</v>
          </cell>
          <cell r="L32">
            <v>3383.6391006431172</v>
          </cell>
          <cell r="M32">
            <v>3654.0891113768621</v>
          </cell>
          <cell r="N32">
            <v>3938.10399279697</v>
          </cell>
          <cell r="O32">
            <v>4235.8656302788168</v>
          </cell>
          <cell r="P32">
            <v>4554.0341985437499</v>
          </cell>
          <cell r="Q32">
            <v>4890.9555953921245</v>
          </cell>
          <cell r="R32">
            <v>5251.0694902150108</v>
          </cell>
          <cell r="S32">
            <v>5635.240594457332</v>
          </cell>
          <cell r="T32">
            <v>6044.8799980499643</v>
          </cell>
          <cell r="U32">
            <v>6481.4674695244039</v>
          </cell>
          <cell r="V32">
            <v>6946.5531947432783</v>
          </cell>
          <cell r="W32">
            <v>7441.7600260896788</v>
          </cell>
          <cell r="X32">
            <v>7968.7857261316449</v>
          </cell>
          <cell r="Y32">
            <v>8529.4051990560656</v>
          </cell>
          <cell r="Z32">
            <v>9125.4727027156259</v>
          </cell>
          <cell r="AA32">
            <v>9758.9240336758576</v>
          </cell>
          <cell r="AB32">
            <v>10431.7786771879</v>
          </cell>
          <cell r="AC32">
            <v>11146.14191354817</v>
          </cell>
          <cell r="AD32">
            <v>11904.206871840281</v>
          </cell>
          <cell r="AE32">
            <v>12708.256521589359</v>
          </cell>
          <cell r="AF32">
            <v>13560.665592395981</v>
          </cell>
          <cell r="AG32">
            <v>14463.90241115881</v>
          </cell>
          <cell r="AH32">
            <v>15420.530646044081</v>
          </cell>
          <cell r="AI32">
            <v>16433.210945917581</v>
          </cell>
          <cell r="AJ32">
            <v>17504.70246352494</v>
          </cell>
          <cell r="AK32">
            <v>18637.86425029032</v>
          </cell>
          <cell r="AL32">
            <v>19835.656510204619</v>
          </cell>
          <cell r="AM32">
            <v>21101.141699896049</v>
          </cell>
          <cell r="AN32">
            <v>22437.485461619901</v>
          </cell>
          <cell r="AO32">
            <v>23851.154745632171</v>
          </cell>
          <cell r="AP32">
            <v>25353.891980149769</v>
          </cell>
        </row>
        <row r="33">
          <cell r="C33" t="str">
            <v>Москва - ЛоговежьТариф Бизнес</v>
          </cell>
          <cell r="D33">
            <v>4305.6442740549783</v>
          </cell>
          <cell r="E33">
            <v>4667.054076143053</v>
          </cell>
          <cell r="F33">
            <v>4951.101348077169</v>
          </cell>
          <cell r="G33">
            <v>5252.4363675661389</v>
          </cell>
          <cell r="H33">
            <v>5572.1113053049512</v>
          </cell>
          <cell r="I33">
            <v>5911.24236943291</v>
          </cell>
          <cell r="J33">
            <v>6271.0137029946573</v>
          </cell>
          <cell r="K33">
            <v>6652.6815186093327</v>
          </cell>
          <cell r="L33">
            <v>7223.6312874411233</v>
          </cell>
          <cell r="M33">
            <v>7801.0070361885982</v>
          </cell>
          <cell r="N33">
            <v>8407.3420271559407</v>
          </cell>
          <cell r="O33">
            <v>9043.0245620648038</v>
          </cell>
          <cell r="P33">
            <v>9722.2732514306645</v>
          </cell>
          <cell r="Q33">
            <v>10441.556801268969</v>
          </cell>
          <cell r="R33">
            <v>11210.353330777831</v>
          </cell>
          <cell r="S33">
            <v>12030.508886909151</v>
          </cell>
          <cell r="T33">
            <v>12905.03596392456</v>
          </cell>
          <cell r="U33">
            <v>13837.09367600388</v>
          </cell>
          <cell r="V33">
            <v>14829.99146920965</v>
          </cell>
          <cell r="W33">
            <v>15887.19392321502</v>
          </cell>
          <cell r="X33">
            <v>17012.3255412369</v>
          </cell>
          <cell r="Y33">
            <v>18209.175513858361</v>
          </cell>
          <cell r="Z33">
            <v>19481.702441462348</v>
          </cell>
          <cell r="AA33">
            <v>20834.03899902424</v>
          </cell>
          <cell r="AB33">
            <v>22270.496526025221</v>
          </cell>
          <cell r="AC33">
            <v>23795.569523257371</v>
          </cell>
          <cell r="AD33">
            <v>25413.94003729679</v>
          </cell>
          <cell r="AE33">
            <v>27130.481912427509</v>
          </cell>
          <cell r="AF33">
            <v>28950.264888811391</v>
          </cell>
          <cell r="AG33">
            <v>30878.558524720698</v>
          </cell>
          <cell r="AH33">
            <v>32920.835919686782</v>
          </cell>
          <cell r="AI33">
            <v>35082.777214475311</v>
          </cell>
          <cell r="AJ33">
            <v>37370.27284287881</v>
          </cell>
          <cell r="AK33">
            <v>39789.426509431272</v>
          </cell>
          <cell r="AL33">
            <v>42346.557866297073</v>
          </cell>
          <cell r="AM33">
            <v>45048.204861779217</v>
          </cell>
          <cell r="AN33">
            <v>47901.125732131637</v>
          </cell>
          <cell r="AO33">
            <v>50919.126578659452</v>
          </cell>
          <cell r="AP33">
            <v>54127.275964922599</v>
          </cell>
        </row>
        <row r="34">
          <cell r="C34" t="str">
            <v>Москва - ЛоговежьТариф Первый</v>
          </cell>
          <cell r="D34">
            <v>6680.4943747976276</v>
          </cell>
          <cell r="E34">
            <v>7270.6492478672499</v>
          </cell>
          <cell r="F34">
            <v>7713.1571019337798</v>
          </cell>
          <cell r="G34">
            <v>8182.596966366239</v>
          </cell>
          <cell r="H34">
            <v>8680.6079831045554</v>
          </cell>
          <cell r="I34">
            <v>9208.9290559060228</v>
          </cell>
          <cell r="J34">
            <v>9769.4049220709676</v>
          </cell>
          <cell r="K34">
            <v>10363.99259370714</v>
          </cell>
          <cell r="L34">
            <v>11253.45636241441</v>
          </cell>
          <cell r="M34">
            <v>12152.93095278317</v>
          </cell>
          <cell r="N34">
            <v>13097.52018918549</v>
          </cell>
          <cell r="O34">
            <v>14087.828994035901</v>
          </cell>
          <cell r="P34">
            <v>15146.00807057535</v>
          </cell>
          <cell r="Q34">
            <v>16266.55613265331</v>
          </cell>
          <cell r="R34">
            <v>17464.23882881266</v>
          </cell>
          <cell r="S34">
            <v>18741.932054567678</v>
          </cell>
          <cell r="T34">
            <v>20104.32887513256</v>
          </cell>
          <cell r="U34">
            <v>21556.350770044639</v>
          </cell>
          <cell r="V34">
            <v>23103.153415911249</v>
          </cell>
          <cell r="W34">
            <v>24750.13416686279</v>
          </cell>
          <cell r="X34">
            <v>26502.939516631301</v>
          </cell>
          <cell r="Y34">
            <v>28367.472519951782</v>
          </cell>
          <cell r="Z34">
            <v>30349.900149485671</v>
          </cell>
          <cell r="AA34">
            <v>32456.66056294685</v>
          </cell>
          <cell r="AB34">
            <v>34694.47025357595</v>
          </cell>
          <cell r="AC34">
            <v>37070.331055564362</v>
          </cell>
          <cell r="AD34">
            <v>39591.536974480019</v>
          </cell>
          <cell r="AE34">
            <v>42265.68081119893</v>
          </cell>
          <cell r="AF34">
            <v>45100.660546308718</v>
          </cell>
          <cell r="AG34">
            <v>48104.685450425008</v>
          </cell>
          <cell r="AH34">
            <v>51286.281884361677</v>
          </cell>
          <cell r="AI34">
            <v>54654.298751626629</v>
          </cell>
          <cell r="AJ34">
            <v>58217.912564281687</v>
          </cell>
          <cell r="AK34">
            <v>61986.63208182597</v>
          </cell>
          <cell r="AL34">
            <v>65970.302481432533</v>
          </cell>
          <cell r="AM34">
            <v>70179.109016611619</v>
          </cell>
          <cell r="AN34">
            <v>74623.580120189348</v>
          </cell>
          <cell r="AO34">
            <v>79325.223860945902</v>
          </cell>
          <cell r="AP34">
            <v>84323.093725260056</v>
          </cell>
        </row>
        <row r="35">
          <cell r="C35" t="str">
            <v>Санкт-Петербург - ЛоговежьСанкт-Петербург - Логовежь</v>
          </cell>
        </row>
        <row r="36">
          <cell r="C36" t="str">
            <v>Санкт-Петербург - ЛоговежьТариф Эконом</v>
          </cell>
          <cell r="D36">
            <v>2744.7632078427409</v>
          </cell>
          <cell r="E36">
            <v>2979.9014143689042</v>
          </cell>
          <cell r="F36">
            <v>3161.2648298285349</v>
          </cell>
          <cell r="G36">
            <v>3353.6664253798231</v>
          </cell>
          <cell r="H36">
            <v>3557.7780091679042</v>
          </cell>
          <cell r="I36">
            <v>3774.3122770730429</v>
          </cell>
          <cell r="J36">
            <v>4004.0253012289641</v>
          </cell>
          <cell r="K36">
            <v>4247.7191699979276</v>
          </cell>
          <cell r="L36">
            <v>4612.2690543398476</v>
          </cell>
          <cell r="M36">
            <v>4980.9219094909886</v>
          </cell>
          <cell r="N36">
            <v>5368.0651625338432</v>
          </cell>
          <cell r="O36">
            <v>5773.9467430682625</v>
          </cell>
          <cell r="P36">
            <v>6207.6451954809454</v>
          </cell>
          <cell r="Q36">
            <v>6666.9057981064871</v>
          </cell>
          <cell r="R36">
            <v>7157.7803044371703</v>
          </cell>
          <cell r="S36">
            <v>7681.4474104626461</v>
          </cell>
          <cell r="T36">
            <v>8239.8305856273473</v>
          </cell>
          <cell r="U36">
            <v>8834.9469157972253</v>
          </cell>
          <cell r="V36">
            <v>9468.9094733390502</v>
          </cell>
          <cell r="W36">
            <v>10143.9303830107</v>
          </cell>
          <cell r="X36">
            <v>10862.32388032055</v>
          </cell>
          <cell r="Y36">
            <v>11626.50935321515</v>
          </cell>
          <cell r="Z36">
            <v>12439.014357340449</v>
          </cell>
          <cell r="AA36">
            <v>13302.47759449922</v>
          </cell>
          <cell r="AB36">
            <v>14219.651843298279</v>
          </cell>
          <cell r="AC36">
            <v>15193.40683034647</v>
          </cell>
          <cell r="AD36">
            <v>16226.732029728861</v>
          </cell>
          <cell r="AE36">
            <v>17322.73937784872</v>
          </cell>
          <cell r="AF36">
            <v>18484.665890097818</v>
          </cell>
          <cell r="AG36">
            <v>19715.876165191388</v>
          </cell>
          <cell r="AH36">
            <v>21019.864762388552</v>
          </cell>
          <cell r="AI36">
            <v>22400.258436216929</v>
          </cell>
          <cell r="AJ36">
            <v>23860.818212733509</v>
          </cell>
          <cell r="AK36">
            <v>25405.44129078725</v>
          </cell>
          <cell r="AL36">
            <v>27038.16275120556</v>
          </cell>
          <cell r="AM36">
            <v>28763.157056310331</v>
          </cell>
          <cell r="AN36">
            <v>30584.73932168477</v>
          </cell>
          <cell r="AO36">
            <v>32511.72470569966</v>
          </cell>
          <cell r="AP36">
            <v>34560.119418437353</v>
          </cell>
        </row>
        <row r="37">
          <cell r="C37" t="str">
            <v>Санкт-Петербург - ЛоговежьТариф Комфорт</v>
          </cell>
          <cell r="D37">
            <v>3772.6147733723092</v>
          </cell>
          <cell r="E37">
            <v>4094.7676069335771</v>
          </cell>
          <cell r="F37">
            <v>4343.984253875642</v>
          </cell>
          <cell r="G37">
            <v>4608.3687792115588</v>
          </cell>
          <cell r="H37">
            <v>4888.8443336930641</v>
          </cell>
          <cell r="I37">
            <v>5186.3902530760461</v>
          </cell>
          <cell r="J37">
            <v>5502.0454776646166</v>
          </cell>
          <cell r="K37">
            <v>5836.9121799762461</v>
          </cell>
          <cell r="L37">
            <v>6337.8505836149552</v>
          </cell>
          <cell r="M37">
            <v>6844.4269965786634</v>
          </cell>
          <cell r="N37">
            <v>7376.4115931692513</v>
          </cell>
          <cell r="O37">
            <v>7934.1450605280406</v>
          </cell>
          <cell r="P37">
            <v>8530.1024856809108</v>
          </cell>
          <cell r="Q37">
            <v>9161.1855912171868</v>
          </cell>
          <cell r="R37">
            <v>9835.7102643826238</v>
          </cell>
          <cell r="S37">
            <v>10555.296184987281</v>
          </cell>
          <cell r="T37">
            <v>11322.58644730804</v>
          </cell>
          <cell r="U37">
            <v>12140.352786619271</v>
          </cell>
          <cell r="V37">
            <v>13011.498835986409</v>
          </cell>
          <cell r="W37">
            <v>13939.06433919341</v>
          </cell>
          <cell r="X37">
            <v>14926.229353321591</v>
          </cell>
          <cell r="Y37">
            <v>15976.31842841965</v>
          </cell>
          <cell r="Z37">
            <v>17092.804750860068</v>
          </cell>
          <cell r="AA37">
            <v>18279.314236122529</v>
          </cell>
          <cell r="AB37">
            <v>19539.629555879979</v>
          </cell>
          <cell r="AC37">
            <v>20877.694083393701</v>
          </cell>
          <cell r="AD37">
            <v>22297.61574035072</v>
          </cell>
          <cell r="AE37">
            <v>23803.670727405639</v>
          </cell>
          <cell r="AF37">
            <v>25400.307119822181</v>
          </cell>
          <cell r="AG37">
            <v>27092.148308751141</v>
          </cell>
          <cell r="AH37">
            <v>28883.99626783689</v>
          </cell>
          <cell r="AI37">
            <v>30780.83462401641</v>
          </cell>
          <cell r="AJ37">
            <v>32787.831510568387</v>
          </cell>
          <cell r="AK37">
            <v>34910.34217969267</v>
          </cell>
          <cell r="AL37">
            <v>37153.911351152034</v>
          </cell>
          <cell r="AM37">
            <v>39524.275272800027</v>
          </cell>
          <cell r="AN37">
            <v>42027.363468152173</v>
          </cell>
          <cell r="AO37">
            <v>44675.289097990397</v>
          </cell>
          <cell r="AP37">
            <v>47490.046752551447</v>
          </cell>
        </row>
        <row r="38">
          <cell r="C38" t="str">
            <v>Санкт-Петербург - ЛоговежьТариф Бизнес</v>
          </cell>
          <cell r="D38">
            <v>8063.389368733885</v>
          </cell>
          <cell r="E38">
            <v>8740.2190765370979</v>
          </cell>
          <cell r="F38">
            <v>9272.1682128214961</v>
          </cell>
          <cell r="G38">
            <v>9836.4929544672468</v>
          </cell>
          <cell r="H38">
            <v>10435.16375269048</v>
          </cell>
          <cell r="I38">
            <v>11070.27098474276</v>
          </cell>
          <cell r="J38">
            <v>11744.03225287579</v>
          </cell>
          <cell r="K38">
            <v>12458.80012753741</v>
          </cell>
          <cell r="L38">
            <v>13528.04551871404</v>
          </cell>
          <cell r="M38">
            <v>14609.32515490438</v>
          </cell>
          <cell r="N38">
            <v>15744.838171973241</v>
          </cell>
          <cell r="O38">
            <v>16935.311761433659</v>
          </cell>
          <cell r="P38">
            <v>18207.37380649455</v>
          </cell>
          <cell r="Q38">
            <v>19554.411081222581</v>
          </cell>
          <cell r="R38">
            <v>20994.173720258019</v>
          </cell>
          <cell r="S38">
            <v>22530.118905480918</v>
          </cell>
          <cell r="T38">
            <v>24167.888281359919</v>
          </cell>
          <cell r="U38">
            <v>25913.398074612949</v>
          </cell>
          <cell r="V38">
            <v>27772.846045783779</v>
          </cell>
          <cell r="W38">
            <v>29752.720481671131</v>
          </cell>
          <cell r="X38">
            <v>31859.809165669591</v>
          </cell>
          <cell r="Y38">
            <v>34101.208299211212</v>
          </cell>
          <cell r="Z38">
            <v>36484.331345696919</v>
          </cell>
          <cell r="AA38">
            <v>39016.917766480146</v>
          </cell>
          <cell r="AB38">
            <v>41707.041616620962</v>
          </cell>
          <cell r="AC38">
            <v>44563.119966271413</v>
          </cell>
          <cell r="AD38">
            <v>47593.921111691627</v>
          </cell>
          <cell r="AE38">
            <v>50808.572538034437</v>
          </cell>
          <cell r="AF38">
            <v>54216.568594187353</v>
          </cell>
          <cell r="AG38">
            <v>57827.77783812819</v>
          </cell>
          <cell r="AH38">
            <v>61652.4500094467</v>
          </cell>
          <cell r="AI38">
            <v>65701.222583918337</v>
          </cell>
          <cell r="AJ38">
            <v>69985.126863294136</v>
          </cell>
          <cell r="AK38">
            <v>74515.593551811748</v>
          </cell>
          <cell r="AL38">
            <v>79304.45776933548</v>
          </cell>
          <cell r="AM38">
            <v>84363.963449521747</v>
          </cell>
          <cell r="AN38">
            <v>89706.767069982874</v>
          </cell>
          <cell r="AO38">
            <v>95358.723987873731</v>
          </cell>
          <cell r="AP38">
            <v>101366.781320985</v>
          </cell>
        </row>
        <row r="39">
          <cell r="C39" t="str">
            <v>Санкт-Петербург - ЛоговежьТариф Первый</v>
          </cell>
          <cell r="D39">
            <v>12675.39321918832</v>
          </cell>
          <cell r="E39">
            <v>13795.137456171409</v>
          </cell>
          <cell r="F39">
            <v>14634.74014695916</v>
          </cell>
          <cell r="G39">
            <v>15525.442921426231</v>
          </cell>
          <cell r="H39">
            <v>16470.355844107511</v>
          </cell>
          <cell r="I39">
            <v>17472.778264969871</v>
          </cell>
          <cell r="J39">
            <v>18536.210339743691</v>
          </cell>
          <cell r="K39">
            <v>19664.365251407449</v>
          </cell>
          <cell r="L39">
            <v>21352.010265393012</v>
          </cell>
          <cell r="M39">
            <v>23058.649547450299</v>
          </cell>
          <cell r="N39">
            <v>24850.888164876709</v>
          </cell>
          <cell r="O39">
            <v>26729.873881451578</v>
          </cell>
          <cell r="P39">
            <v>28737.63485525845</v>
          </cell>
          <cell r="Q39">
            <v>30863.73309155371</v>
          </cell>
          <cell r="R39">
            <v>33136.184541091417</v>
          </cell>
          <cell r="S39">
            <v>35560.445851906246</v>
          </cell>
          <cell r="T39">
            <v>38145.421521727832</v>
          </cell>
          <cell r="U39">
            <v>40900.449435577262</v>
          </cell>
          <cell r="V39">
            <v>43835.311837797934</v>
          </cell>
          <cell r="W39">
            <v>46960.249525269181</v>
          </cell>
          <cell r="X39">
            <v>50285.976005756747</v>
          </cell>
          <cell r="Y39">
            <v>53823.691579083214</v>
          </cell>
          <cell r="Z39">
            <v>57585.097295959757</v>
          </cell>
          <cell r="AA39">
            <v>61582.408746438923</v>
          </cell>
          <cell r="AB39">
            <v>65828.369627035165</v>
          </cell>
          <cell r="AC39">
            <v>70336.26503263104</v>
          </cell>
          <cell r="AD39">
            <v>75119.934416346223</v>
          </cell>
          <cell r="AE39">
            <v>80193.784157610004</v>
          </cell>
          <cell r="AF39">
            <v>85572.799675759525</v>
          </cell>
          <cell r="AG39">
            <v>91272.557023592308</v>
          </cell>
          <cell r="AH39">
            <v>97309.233892455959</v>
          </cell>
          <cell r="AI39">
            <v>103699.6199576692</v>
          </cell>
          <cell r="AJ39">
            <v>110461.1264903503</v>
          </cell>
          <cell r="AK39">
            <v>117611.79515911191</v>
          </cell>
          <cell r="AL39">
            <v>125170.3059425573</v>
          </cell>
          <cell r="AM39">
            <v>133155.9840711315</v>
          </cell>
          <cell r="AN39">
            <v>141588.80591463079</v>
          </cell>
          <cell r="AO39">
            <v>150509.58031352109</v>
          </cell>
          <cell r="AP39">
            <v>159992.40631925841</v>
          </cell>
        </row>
        <row r="40">
          <cell r="C40" t="str">
            <v>Москва - ВалдайМосква - Валдай</v>
          </cell>
        </row>
        <row r="41">
          <cell r="C41" t="str">
            <v>Москва - ВалдайТариф Эконом</v>
          </cell>
          <cell r="D41">
            <v>2468.7462342462291</v>
          </cell>
          <cell r="E41">
            <v>2680.238635568935</v>
          </cell>
          <cell r="F41">
            <v>2843.3639090594311</v>
          </cell>
          <cell r="G41">
            <v>3016.4173488326669</v>
          </cell>
          <cell r="H41">
            <v>3200.0032051291391</v>
          </cell>
          <cell r="I41">
            <v>3394.7625042004129</v>
          </cell>
          <cell r="J41">
            <v>3601.375286578811</v>
          </cell>
          <cell r="K41">
            <v>3820.5629815731331</v>
          </cell>
          <cell r="L41">
            <v>4148.453253343192</v>
          </cell>
          <cell r="M41">
            <v>4480.0338958182874</v>
          </cell>
          <cell r="N41">
            <v>4828.2455176195581</v>
          </cell>
          <cell r="O41">
            <v>5193.3111162224332</v>
          </cell>
          <cell r="P41">
            <v>5583.3962857310053</v>
          </cell>
          <cell r="Q41">
            <v>5996.4730422358307</v>
          </cell>
          <cell r="R41">
            <v>6437.9845669927536</v>
          </cell>
          <cell r="S41">
            <v>6908.9910247830039</v>
          </cell>
          <cell r="T41">
            <v>7411.2224584511014</v>
          </cell>
          <cell r="U41">
            <v>7946.4931130734503</v>
          </cell>
          <cell r="V41">
            <v>8516.7035676993637</v>
          </cell>
          <cell r="W41">
            <v>9123.8434929314226</v>
          </cell>
          <cell r="X41">
            <v>9769.9944017322505</v>
          </cell>
          <cell r="Y41">
            <v>10457.33238523611</v>
          </cell>
          <cell r="Z41">
            <v>11188.13082479152</v>
          </cell>
          <cell r="AA41">
            <v>11964.763070901059</v>
          </cell>
          <cell r="AB41">
            <v>12789.705079159001</v>
          </cell>
          <cell r="AC41">
            <v>13665.537992717729</v>
          </cell>
          <cell r="AD41">
            <v>14594.95066024325</v>
          </cell>
          <cell r="AE41">
            <v>15580.742077749061</v>
          </cell>
          <cell r="AF41">
            <v>16625.823742130709</v>
          </cell>
          <cell r="AG41">
            <v>17733.221903661539</v>
          </cell>
          <cell r="AH41">
            <v>18906.07970415672</v>
          </cell>
          <cell r="AI41">
            <v>20147.659186971028</v>
          </cell>
          <cell r="AJ41">
            <v>21461.34316446822</v>
          </cell>
          <cell r="AK41">
            <v>22850.636928090211</v>
          </cell>
          <cell r="AL41">
            <v>24319.16978566545</v>
          </cell>
          <cell r="AM41">
            <v>25870.696410131772</v>
          </cell>
          <cell r="AN41">
            <v>27509.097983412601</v>
          </cell>
          <cell r="AO41">
            <v>29242.30320003791</v>
          </cell>
          <cell r="AP41">
            <v>31084.708664695681</v>
          </cell>
        </row>
        <row r="42">
          <cell r="C42" t="str">
            <v>Москва - ВалдайТариф Комфорт</v>
          </cell>
          <cell r="D42">
            <v>3392.8089039106312</v>
          </cell>
          <cell r="E42">
            <v>3682.5291822282829</v>
          </cell>
          <cell r="F42">
            <v>3906.656083473481</v>
          </cell>
          <cell r="G42">
            <v>4144.4238454901833</v>
          </cell>
          <cell r="H42">
            <v>4396.6626813476532</v>
          </cell>
          <cell r="I42">
            <v>4664.2533327256251</v>
          </cell>
          <cell r="J42">
            <v>4948.130145197706</v>
          </cell>
          <cell r="K42">
            <v>5249.2843306833611</v>
          </cell>
          <cell r="L42">
            <v>5699.791042413417</v>
          </cell>
          <cell r="M42">
            <v>6155.3681600521813</v>
          </cell>
          <cell r="N42">
            <v>6633.7955067283556</v>
          </cell>
          <cell r="O42">
            <v>7135.3794710970151</v>
          </cell>
          <cell r="P42">
            <v>7671.3392178174281</v>
          </cell>
          <cell r="Q42">
            <v>8238.8883868138437</v>
          </cell>
          <cell r="R42">
            <v>8845.5056680628895</v>
          </cell>
          <cell r="S42">
            <v>9492.6476810211461</v>
          </cell>
          <cell r="T42">
            <v>10182.691427936439</v>
          </cell>
          <cell r="U42">
            <v>10918.12960119403</v>
          </cell>
          <cell r="V42">
            <v>11701.573512234379</v>
          </cell>
          <cell r="W42">
            <v>12535.75688034644</v>
          </cell>
          <cell r="X42">
            <v>13423.539612154311</v>
          </cell>
          <cell r="Y42">
            <v>14367.911560501219</v>
          </cell>
          <cell r="Z42">
            <v>15371.996250675989</v>
          </cell>
          <cell r="AA42">
            <v>16439.054561157671</v>
          </cell>
          <cell r="AB42">
            <v>17572.488345277048</v>
          </cell>
          <cell r="AC42">
            <v>18775.84397941126</v>
          </cell>
          <cell r="AD42">
            <v>20052.815822543009</v>
          </cell>
          <cell r="AE42">
            <v>21407.24957123222</v>
          </cell>
          <cell r="AF42">
            <v>22843.14549326837</v>
          </cell>
          <cell r="AG42">
            <v>24364.6615224997</v>
          </cell>
          <cell r="AH42">
            <v>25976.116196576029</v>
          </cell>
          <cell r="AI42">
            <v>27681.991418596739</v>
          </cell>
          <cell r="AJ42">
            <v>29486.935022930778</v>
          </cell>
          <cell r="AK42">
            <v>31395.763124776178</v>
          </cell>
          <cell r="AL42">
            <v>33413.462232353602</v>
          </cell>
          <cell r="AM42">
            <v>35545.191099991731</v>
          </cell>
          <cell r="AN42">
            <v>37796.282299762701</v>
          </cell>
          <cell r="AO42">
            <v>40177.629506802783</v>
          </cell>
          <cell r="AP42">
            <v>42709.013018352984</v>
          </cell>
        </row>
        <row r="43">
          <cell r="C43" t="str">
            <v>Москва - ВалдайТариф Бизнес</v>
          </cell>
          <cell r="D43">
            <v>7251.9835941542906</v>
          </cell>
          <cell r="E43">
            <v>7860.7050278552961</v>
          </cell>
          <cell r="F43">
            <v>8339.1249866157323</v>
          </cell>
          <cell r="G43">
            <v>8846.6626461586366</v>
          </cell>
          <cell r="H43">
            <v>9385.0901743949271</v>
          </cell>
          <cell r="I43">
            <v>9956.2875973087939</v>
          </cell>
          <cell r="J43">
            <v>10562.24936343947</v>
          </cell>
          <cell r="K43">
            <v>11205.091307891989</v>
          </cell>
          <cell r="L43">
            <v>12166.74027216066</v>
          </cell>
          <cell r="M43">
            <v>13139.212494914889</v>
          </cell>
          <cell r="N43">
            <v>14160.460681522671</v>
          </cell>
          <cell r="O43">
            <v>15231.138847396311</v>
          </cell>
          <cell r="P43">
            <v>16375.19535510982</v>
          </cell>
          <cell r="Q43">
            <v>17586.682456913499</v>
          </cell>
          <cell r="R43">
            <v>18881.564120230811</v>
          </cell>
          <cell r="S43">
            <v>20262.949636344831</v>
          </cell>
          <cell r="T43">
            <v>21735.912940205191</v>
          </cell>
          <cell r="U43">
            <v>23305.774918245119</v>
          </cell>
          <cell r="V43">
            <v>24978.10966043203</v>
          </cell>
          <cell r="W43">
            <v>26758.75254780324</v>
          </cell>
          <cell r="X43">
            <v>28653.8083201359</v>
          </cell>
          <cell r="Y43">
            <v>30669.659099638538</v>
          </cell>
          <cell r="Z43">
            <v>32812.972344931943</v>
          </cell>
          <cell r="AA43">
            <v>35090.708707944978</v>
          </cell>
          <cell r="AB43">
            <v>37510.129764691941</v>
          </cell>
          <cell r="AC43">
            <v>40078.805589227559</v>
          </cell>
          <cell r="AD43">
            <v>42804.622138401937</v>
          </cell>
          <cell r="AE43">
            <v>45695.788413362963</v>
          </cell>
          <cell r="AF43">
            <v>48760.843362091568</v>
          </cell>
          <cell r="AG43">
            <v>52008.662485606052</v>
          </cell>
          <cell r="AH43">
            <v>55448.464108850188</v>
          </cell>
          <cell r="AI43">
            <v>59089.815275690897</v>
          </cell>
          <cell r="AJ43">
            <v>62942.637225902487</v>
          </cell>
          <cell r="AK43">
            <v>67017.210410522384</v>
          </cell>
          <cell r="AL43">
            <v>71324.179000527074</v>
          </cell>
          <cell r="AM43">
            <v>75874.554842417303</v>
          </cell>
          <cell r="AN43">
            <v>80679.720813021573</v>
          </cell>
          <cell r="AO43">
            <v>85762.930486901838</v>
          </cell>
          <cell r="AP43">
            <v>91166.406769643043</v>
          </cell>
        </row>
        <row r="44">
          <cell r="C44" t="str">
            <v>Москва - ВалдайТариф Первый</v>
          </cell>
          <cell r="D44">
            <v>11357.950791778119</v>
          </cell>
          <cell r="E44">
            <v>12361.3121647238</v>
          </cell>
          <cell r="F44">
            <v>13113.649065181889</v>
          </cell>
          <cell r="G44">
            <v>13911.77485958979</v>
          </cell>
          <cell r="H44">
            <v>14758.476361684619</v>
          </cell>
          <cell r="I44">
            <v>15656.70999687427</v>
          </cell>
          <cell r="J44">
            <v>16609.612125180229</v>
          </cell>
          <cell r="K44">
            <v>17620.509992457621</v>
          </cell>
          <cell r="L44">
            <v>19132.746235655221</v>
          </cell>
          <cell r="M44">
            <v>20662.002539560519</v>
          </cell>
          <cell r="N44">
            <v>22267.961240158311</v>
          </cell>
          <cell r="O44">
            <v>23951.65080609651</v>
          </cell>
          <cell r="P44">
            <v>25750.731114518789</v>
          </cell>
          <cell r="Q44">
            <v>27655.849064609029</v>
          </cell>
          <cell r="R44">
            <v>29692.108713065689</v>
          </cell>
          <cell r="S44">
            <v>31864.399560261161</v>
          </cell>
          <cell r="T44">
            <v>34180.700597086689</v>
          </cell>
          <cell r="U44">
            <v>36649.379156747244</v>
          </cell>
          <cell r="V44">
            <v>39279.200746392293</v>
          </cell>
          <cell r="W44">
            <v>42079.3417651294</v>
          </cell>
          <cell r="X44">
            <v>45059.402190798013</v>
          </cell>
          <cell r="Y44">
            <v>48229.418197585212</v>
          </cell>
          <cell r="Z44">
            <v>51599.874664018411</v>
          </cell>
          <cell r="AA44">
            <v>55181.717528287423</v>
          </cell>
          <cell r="AB44">
            <v>58986.365945239268</v>
          </cell>
          <cell r="AC44">
            <v>63025.724196763338</v>
          </cell>
          <cell r="AD44">
            <v>67312.193304650471</v>
          </cell>
          <cell r="AE44">
            <v>71858.682292377547</v>
          </cell>
          <cell r="AF44">
            <v>76678.619039654674</v>
          </cell>
          <cell r="AG44">
            <v>81785.960670978515</v>
          </cell>
          <cell r="AH44">
            <v>87195.203416885939</v>
          </cell>
          <cell r="AI44">
            <v>92921.391884102923</v>
          </cell>
          <cell r="AJ44">
            <v>98980.127668348403</v>
          </cell>
          <cell r="AK44">
            <v>105387.57724120709</v>
          </cell>
          <cell r="AL44">
            <v>112160.4790402247</v>
          </cell>
          <cell r="AM44">
            <v>119316.14968924411</v>
          </cell>
          <cell r="AN44">
            <v>126872.489273984</v>
          </cell>
          <cell r="AO44">
            <v>134866.06508619359</v>
          </cell>
          <cell r="AP44">
            <v>143363.27454373619</v>
          </cell>
        </row>
        <row r="45">
          <cell r="C45" t="str">
            <v>Москва - ВыползовоМосква - Выползово</v>
          </cell>
        </row>
        <row r="46">
          <cell r="C46" t="str">
            <v>Москва - ВыползовоТариф Эконом</v>
          </cell>
          <cell r="D46">
            <v>2165.6493542130911</v>
          </cell>
          <cell r="E46">
            <v>2351.1760705648589</v>
          </cell>
          <cell r="F46">
            <v>2494.2738658303119</v>
          </cell>
          <cell r="G46">
            <v>2646.0809105927278</v>
          </cell>
          <cell r="H46">
            <v>2807.1272691110239</v>
          </cell>
          <cell r="I46">
            <v>2977.9752665316578</v>
          </cell>
          <cell r="J46">
            <v>3159.2214523578668</v>
          </cell>
          <cell r="K46">
            <v>3351.4986834199908</v>
          </cell>
          <cell r="L46">
            <v>3639.1326838130658</v>
          </cell>
          <cell r="M46">
            <v>3930.0039747884239</v>
          </cell>
          <cell r="N46">
            <v>4235.464399769553</v>
          </cell>
          <cell r="O46">
            <v>4555.7095780274649</v>
          </cell>
          <cell r="P46">
            <v>4897.9025842245064</v>
          </cell>
          <cell r="Q46">
            <v>5260.2644173508061</v>
          </cell>
          <cell r="R46">
            <v>5647.5699796656818</v>
          </cell>
          <cell r="S46">
            <v>6060.7492756961192</v>
          </cell>
          <cell r="T46">
            <v>6501.3199446862918</v>
          </cell>
          <cell r="U46">
            <v>6970.8734903005279</v>
          </cell>
          <cell r="V46">
            <v>7471.0771506427982</v>
          </cell>
          <cell r="W46">
            <v>8003.676317278997</v>
          </cell>
          <cell r="X46">
            <v>8570.4969483172317</v>
          </cell>
          <cell r="Y46">
            <v>9173.4479683339796</v>
          </cell>
          <cell r="Z46">
            <v>9814.5236474494232</v>
          </cell>
          <cell r="AA46">
            <v>10495.8059513642</v>
          </cell>
          <cell r="AB46">
            <v>11219.466853673401</v>
          </cell>
          <cell r="AC46">
            <v>11987.77060127432</v>
          </cell>
          <cell r="AD46">
            <v>12803.075923183451</v>
          </cell>
          <cell r="AE46">
            <v>13667.838172577671</v>
          </cell>
          <cell r="AF46">
            <v>14584.611391376769</v>
          </cell>
          <cell r="AG46">
            <v>15556.05028619224</v>
          </cell>
          <cell r="AH46">
            <v>16584.912103981169</v>
          </cell>
          <cell r="AI46">
            <v>17674.058395269389</v>
          </cell>
          <cell r="AJ46">
            <v>18826.456652344819</v>
          </cell>
          <cell r="AK46">
            <v>20045.181809375339</v>
          </cell>
          <cell r="AL46">
            <v>21333.41759097626</v>
          </cell>
          <cell r="AM46">
            <v>22694.457695345602</v>
          </cell>
          <cell r="AN46">
            <v>24131.706797702489</v>
          </cell>
          <cell r="AO46">
            <v>25652.12015815037</v>
          </cell>
          <cell r="AP46">
            <v>27268.32685829062</v>
          </cell>
        </row>
        <row r="47">
          <cell r="C47" t="str">
            <v>Москва - ВыползовоТариф Комфорт</v>
          </cell>
          <cell r="D47">
            <v>2975.921713978661</v>
          </cell>
          <cell r="E47">
            <v>3230.0429720995248</v>
          </cell>
          <cell r="F47">
            <v>3426.6305580768999</v>
          </cell>
          <cell r="G47">
            <v>3635.1829009613002</v>
          </cell>
          <cell r="H47">
            <v>3856.428202419846</v>
          </cell>
          <cell r="I47">
            <v>4091.1389840897282</v>
          </cell>
          <cell r="J47">
            <v>4340.1347849899739</v>
          </cell>
          <cell r="K47">
            <v>4604.2850231036864</v>
          </cell>
          <cell r="L47">
            <v>4999.4362808669239</v>
          </cell>
          <cell r="M47">
            <v>5399.0349246957376</v>
          </cell>
          <cell r="N47">
            <v>5818.6761039834246</v>
          </cell>
          <cell r="O47">
            <v>6258.628560258725</v>
          </cell>
          <cell r="P47">
            <v>6728.7329172254194</v>
          </cell>
          <cell r="Q47">
            <v>7226.545185349396</v>
          </cell>
          <cell r="R47">
            <v>7758.6251198434866</v>
          </cell>
          <cell r="S47">
            <v>8326.2503598534859</v>
          </cell>
          <cell r="T47">
            <v>8931.5058364214347</v>
          </cell>
          <cell r="U47">
            <v>9576.5779554445344</v>
          </cell>
          <cell r="V47">
            <v>10263.757166705749</v>
          </cell>
          <cell r="W47">
            <v>10995.441287123849</v>
          </cell>
          <cell r="X47">
            <v>11774.138815840281</v>
          </cell>
          <cell r="Y47">
            <v>12602.47223123501</v>
          </cell>
          <cell r="Z47">
            <v>13483.18125929742</v>
          </cell>
          <cell r="AA47">
            <v>14419.126102104119</v>
          </cell>
          <cell r="AB47">
            <v>15413.290614473221</v>
          </cell>
          <cell r="AC47">
            <v>16468.78541617894</v>
          </cell>
          <cell r="AD47">
            <v>17588.85092642179</v>
          </cell>
          <cell r="AE47">
            <v>18776.860306562201</v>
          </cell>
          <cell r="AF47">
            <v>20036.322296441878</v>
          </cell>
          <cell r="AG47">
            <v>21370.8839289397</v>
          </cell>
          <cell r="AH47">
            <v>22784.33310674299</v>
          </cell>
          <cell r="AI47">
            <v>24280.60102466145</v>
          </cell>
          <cell r="AJ47">
            <v>25863.764420175241</v>
          </cell>
          <cell r="AK47">
            <v>27538.047634295232</v>
          </cell>
          <cell r="AL47">
            <v>29307.824464223391</v>
          </cell>
          <cell r="AM47">
            <v>31177.619788742672</v>
          </cell>
          <cell r="AN47">
            <v>33152.110946739573</v>
          </cell>
          <cell r="AO47">
            <v>35240.853066516713</v>
          </cell>
          <cell r="AP47">
            <v>37461.195965801962</v>
          </cell>
        </row>
        <row r="48">
          <cell r="C48" t="str">
            <v>Москва - ВыползовоТариф Бизнес</v>
          </cell>
          <cell r="D48">
            <v>6361.2008390981782</v>
          </cell>
          <cell r="E48">
            <v>6895.1512051686695</v>
          </cell>
          <cell r="F48">
            <v>7314.805414750911</v>
          </cell>
          <cell r="G48">
            <v>7760.0007111606737</v>
          </cell>
          <cell r="H48">
            <v>8232.2915816434925</v>
          </cell>
          <cell r="I48">
            <v>8733.3271229896291</v>
          </cell>
          <cell r="J48">
            <v>9264.8567996809907</v>
          </cell>
          <cell r="K48">
            <v>9828.7365524916713</v>
          </cell>
          <cell r="L48">
            <v>10672.263308861449</v>
          </cell>
          <cell r="M48">
            <v>11525.28387062476</v>
          </cell>
          <cell r="N48">
            <v>12421.08909925401</v>
          </cell>
          <cell r="O48">
            <v>13360.252675499491</v>
          </cell>
          <cell r="P48">
            <v>14363.78131319653</v>
          </cell>
          <cell r="Q48">
            <v>15426.457844175209</v>
          </cell>
          <cell r="R48">
            <v>16562.285334169341</v>
          </cell>
          <cell r="S48">
            <v>17773.991150948339</v>
          </cell>
          <cell r="T48">
            <v>19066.025982912131</v>
          </cell>
          <cell r="U48">
            <v>20443.057136157651</v>
          </cell>
          <cell r="V48">
            <v>21909.9740185714</v>
          </cell>
          <cell r="W48">
            <v>23471.895233948999</v>
          </cell>
          <cell r="X48">
            <v>25134.175658689292</v>
          </cell>
          <cell r="Y48">
            <v>26902.413479911818</v>
          </cell>
          <cell r="Z48">
            <v>28782.457172426621</v>
          </cell>
          <cell r="AA48">
            <v>30780.412390544119</v>
          </cell>
          <cell r="AB48">
            <v>32902.648749257962</v>
          </cell>
          <cell r="AC48">
            <v>35155.806467868701</v>
          </cell>
          <cell r="AD48">
            <v>37546.802847647174</v>
          </cell>
          <cell r="AE48">
            <v>40082.838553668247</v>
          </cell>
          <cell r="AF48">
            <v>42771.403669487183</v>
          </cell>
          <cell r="AG48">
            <v>45620.283491884067</v>
          </cell>
          <cell r="AH48">
            <v>48637.564031480171</v>
          </cell>
          <cell r="AI48">
            <v>51831.637183635386</v>
          </cell>
          <cell r="AJ48">
            <v>55211.205532678243</v>
          </cell>
          <cell r="AK48">
            <v>58785.286751210508</v>
          </cell>
          <cell r="AL48">
            <v>62563.21755496908</v>
          </cell>
          <cell r="AM48">
            <v>66554.657172534819</v>
          </cell>
          <cell r="AN48">
            <v>70769.590288055537</v>
          </cell>
          <cell r="AO48">
            <v>75228.414170236429</v>
          </cell>
          <cell r="AP48">
            <v>79968.165359349383</v>
          </cell>
        </row>
        <row r="49">
          <cell r="C49" t="str">
            <v>Москва - ВыползовоТариф Первый</v>
          </cell>
          <cell r="D49">
            <v>9929.4276584702366</v>
          </cell>
          <cell r="E49">
            <v>10806.5932978195</v>
          </cell>
          <cell r="F49">
            <v>11464.306556561911</v>
          </cell>
          <cell r="G49">
            <v>12162.049704354829</v>
          </cell>
          <cell r="H49">
            <v>12902.25904911221</v>
          </cell>
          <cell r="I49">
            <v>13687.519177856269</v>
          </cell>
          <cell r="J49">
            <v>14520.57198131318</v>
          </cell>
          <cell r="K49">
            <v>15404.3262277657</v>
          </cell>
          <cell r="L49">
            <v>16726.364036752959</v>
          </cell>
          <cell r="M49">
            <v>18063.281242969351</v>
          </cell>
          <cell r="N49">
            <v>19467.253758118812</v>
          </cell>
          <cell r="O49">
            <v>20939.1806972993</v>
          </cell>
          <cell r="P49">
            <v>22511.985343291311</v>
          </cell>
          <cell r="Q49">
            <v>24177.49096248873</v>
          </cell>
          <cell r="R49">
            <v>25957.64419997665</v>
          </cell>
          <cell r="S49">
            <v>27856.719589174361</v>
          </cell>
          <cell r="T49">
            <v>29881.692579640901</v>
          </cell>
          <cell r="U49">
            <v>32039.878120285281</v>
          </cell>
          <cell r="V49">
            <v>34338.939254443947</v>
          </cell>
          <cell r="W49">
            <v>36786.898238312067</v>
          </cell>
          <cell r="X49">
            <v>39392.147632064203</v>
          </cell>
          <cell r="Y49">
            <v>42163.461330515122</v>
          </cell>
          <cell r="Z49">
            <v>45110.005497945203</v>
          </cell>
          <cell r="AA49">
            <v>48241.349369456999</v>
          </cell>
          <cell r="AB49">
            <v>51567.475878948819</v>
          </cell>
          <cell r="AC49">
            <v>55098.792071495373</v>
          </cell>
          <cell r="AD49">
            <v>58846.139255623253</v>
          </cell>
          <cell r="AE49">
            <v>62820.802848667408</v>
          </cell>
          <cell r="AF49">
            <v>67034.521866109819</v>
          </cell>
          <cell r="AG49">
            <v>71499.498003533663</v>
          </cell>
          <cell r="AH49">
            <v>76228.404257597838</v>
          </cell>
          <cell r="AI49">
            <v>81234.393030251798</v>
          </cell>
          <cell r="AJ49">
            <v>86531.103658281587</v>
          </cell>
          <cell r="AK49">
            <v>92132.669308227123</v>
          </cell>
          <cell r="AL49">
            <v>98053.723174735438</v>
          </cell>
          <cell r="AM49">
            <v>104309.4039185462</v>
          </cell>
          <cell r="AN49">
            <v>110915.36027854589</v>
          </cell>
          <cell r="AO49">
            <v>117903.5603698237</v>
          </cell>
          <cell r="AP49">
            <v>125332.05061021241</v>
          </cell>
        </row>
        <row r="50">
          <cell r="C50" t="str">
            <v>Москва - СадваМосква - Садва</v>
          </cell>
        </row>
        <row r="51">
          <cell r="C51" t="str">
            <v>Москва - СадваТариф Эконом</v>
          </cell>
          <cell r="D51">
            <v>1797.950014991726</v>
          </cell>
          <cell r="E51">
            <v>1951.9766868521069</v>
          </cell>
          <cell r="F51">
            <v>2070.7783214021711</v>
          </cell>
          <cell r="G51">
            <v>2196.8104871705809</v>
          </cell>
          <cell r="H51">
            <v>2330.5132503390651</v>
          </cell>
          <cell r="I51">
            <v>2472.353460494116</v>
          </cell>
          <cell r="J51">
            <v>2622.8263807244712</v>
          </cell>
          <cell r="K51">
            <v>2782.4574169299281</v>
          </cell>
          <cell r="L51">
            <v>3021.254872442651</v>
          </cell>
          <cell r="M51">
            <v>3262.7399683342869</v>
          </cell>
          <cell r="N51">
            <v>3516.3371513712232</v>
          </cell>
          <cell r="O51">
            <v>3782.2088271943189</v>
          </cell>
          <cell r="P51">
            <v>4066.3018727398148</v>
          </cell>
          <cell r="Q51">
            <v>4367.1393384331441</v>
          </cell>
          <cell r="R51">
            <v>4688.6854096914976</v>
          </cell>
          <cell r="S51">
            <v>5031.7121882634729</v>
          </cell>
          <cell r="T51">
            <v>5397.4796378160909</v>
          </cell>
          <cell r="U51">
            <v>5787.3090452102961</v>
          </cell>
          <cell r="V51">
            <v>6202.5845730152514</v>
          </cell>
          <cell r="W51">
            <v>6644.7552678118163</v>
          </cell>
          <cell r="X51">
            <v>7115.3370635629199</v>
          </cell>
          <cell r="Y51">
            <v>7615.9147740631943</v>
          </cell>
          <cell r="Z51">
            <v>8148.1440680779951</v>
          </cell>
          <cell r="AA51">
            <v>8713.7534203742052</v>
          </cell>
          <cell r="AB51">
            <v>9314.5460314331249</v>
          </cell>
          <cell r="AC51">
            <v>9952.4017082212122</v>
          </cell>
          <cell r="AD51">
            <v>10629.27869797841</v>
          </cell>
          <cell r="AE51">
            <v>11347.215466568339</v>
          </cell>
          <cell r="AF51">
            <v>12108.33241252138</v>
          </cell>
          <cell r="AG51">
            <v>12914.8335074928</v>
          </cell>
          <cell r="AH51">
            <v>13769.007853454819</v>
          </cell>
          <cell r="AI51">
            <v>14673.23114654715</v>
          </cell>
          <cell r="AJ51">
            <v>15629.967037126289</v>
          </cell>
          <cell r="AK51">
            <v>16641.768375182699</v>
          </cell>
          <cell r="AL51">
            <v>17711.278329938908</v>
          </cell>
          <cell r="AM51">
            <v>18841.231372103659</v>
          </cell>
          <cell r="AN51">
            <v>20034.4541069394</v>
          </cell>
          <cell r="AO51">
            <v>21296.720881056299</v>
          </cell>
          <cell r="AP51">
            <v>22638.51652082309</v>
          </cell>
        </row>
        <row r="52">
          <cell r="C52" t="str">
            <v>Москва - СадваТариф Комфорт</v>
          </cell>
          <cell r="D52">
            <v>2470.3636293623558</v>
          </cell>
          <cell r="E52">
            <v>2681.314041989403</v>
          </cell>
          <cell r="F52">
            <v>2844.5047671020511</v>
          </cell>
          <cell r="G52">
            <v>3017.6276420284662</v>
          </cell>
          <cell r="H52">
            <v>3201.2871594556832</v>
          </cell>
          <cell r="I52">
            <v>3396.1246028376509</v>
          </cell>
          <cell r="J52">
            <v>3602.8202855629688</v>
          </cell>
          <cell r="K52">
            <v>3822.0959264033659</v>
          </cell>
          <cell r="L52">
            <v>4150.1177593332404</v>
          </cell>
          <cell r="M52">
            <v>4481.8314436752398</v>
          </cell>
          <cell r="N52">
            <v>4830.1827802798107</v>
          </cell>
          <cell r="O52">
            <v>5195.3948560968456</v>
          </cell>
          <cell r="P52">
            <v>5585.63654155525</v>
          </cell>
          <cell r="Q52">
            <v>5998.879039046793</v>
          </cell>
          <cell r="R52">
            <v>6440.5677138239189</v>
          </cell>
          <cell r="S52">
            <v>6911.7631560434174</v>
          </cell>
          <cell r="T52">
            <v>7414.1961027041098</v>
          </cell>
          <cell r="U52">
            <v>7949.6815268216187</v>
          </cell>
          <cell r="V52">
            <v>8520.1207700247051</v>
          </cell>
          <cell r="W52">
            <v>9127.504301242092</v>
          </cell>
          <cell r="X52">
            <v>9773.9144686129202</v>
          </cell>
          <cell r="Y52">
            <v>10461.528236396091</v>
          </cell>
          <cell r="Z52">
            <v>11192.619898101029</v>
          </cell>
          <cell r="AA52">
            <v>11969.563756502381</v>
          </cell>
          <cell r="AB52">
            <v>12794.83676063524</v>
          </cell>
          <cell r="AC52">
            <v>13671.021089297839</v>
          </cell>
          <cell r="AD52">
            <v>14600.80667001724</v>
          </cell>
          <cell r="AE52">
            <v>15586.99362186299</v>
          </cell>
          <cell r="AF52">
            <v>16632.494609926081</v>
          </cell>
          <cell r="AG52">
            <v>17740.337098718341</v>
          </cell>
          <cell r="AH52">
            <v>18913.665491194472</v>
          </cell>
          <cell r="AI52">
            <v>20155.7431395563</v>
          </cell>
          <cell r="AJ52">
            <v>21469.95421347137</v>
          </cell>
          <cell r="AK52">
            <v>22859.805410828361</v>
          </cell>
          <cell r="AL52">
            <v>24328.927495662239</v>
          </cell>
          <cell r="AM52">
            <v>25881.076647418231</v>
          </cell>
          <cell r="AN52">
            <v>27520.135605287069</v>
          </cell>
          <cell r="AO52">
            <v>29254.036245071049</v>
          </cell>
          <cell r="AP52">
            <v>31097.180947884499</v>
          </cell>
        </row>
        <row r="53">
          <cell r="C53" t="str">
            <v>Москва - СадваТариф Бизнес</v>
          </cell>
          <cell r="D53">
            <v>5280.7898898378744</v>
          </cell>
          <cell r="E53">
            <v>5724.0520609502128</v>
          </cell>
          <cell r="F53">
            <v>6072.4305767752176</v>
          </cell>
          <cell r="G53">
            <v>6442.0121824736398</v>
          </cell>
          <cell r="H53">
            <v>6834.0873451660318</v>
          </cell>
          <cell r="I53">
            <v>7250.0250726667446</v>
          </cell>
          <cell r="J53">
            <v>7691.2776936449054</v>
          </cell>
          <cell r="K53">
            <v>8159.3859287166133</v>
          </cell>
          <cell r="L53">
            <v>8859.6448388686731</v>
          </cell>
          <cell r="M53">
            <v>9567.7850897937096</v>
          </cell>
          <cell r="N53">
            <v>10311.44329431597</v>
          </cell>
          <cell r="O53">
            <v>11091.09569702869</v>
          </cell>
          <cell r="P53">
            <v>11924.181150256511</v>
          </cell>
          <cell r="Q53">
            <v>12806.368589846261</v>
          </cell>
          <cell r="R53">
            <v>13749.282746697711</v>
          </cell>
          <cell r="S53">
            <v>14755.18776189157</v>
          </cell>
          <cell r="T53">
            <v>15827.778401699141</v>
          </cell>
          <cell r="U53">
            <v>16970.929258901389</v>
          </cell>
          <cell r="V53">
            <v>18188.699305442042</v>
          </cell>
          <cell r="W53">
            <v>19485.337781654449</v>
          </cell>
          <cell r="X53">
            <v>20865.290071022569</v>
          </cell>
          <cell r="Y53">
            <v>22333.203542917388</v>
          </cell>
          <cell r="Z53">
            <v>23893.933344571182</v>
          </cell>
          <cell r="AA53">
            <v>25552.548122355729</v>
          </cell>
          <cell r="AB53">
            <v>27314.335651222871</v>
          </cell>
          <cell r="AC53">
            <v>29184.808349949461</v>
          </cell>
          <cell r="AD53">
            <v>31169.708658609281</v>
          </cell>
          <cell r="AE53">
            <v>33275.014253475958</v>
          </cell>
          <cell r="AF53">
            <v>35506.943073349568</v>
          </cell>
          <cell r="AG53">
            <v>37871.958130099367</v>
          </cell>
          <cell r="AH53">
            <v>40376.772075034103</v>
          </cell>
          <cell r="AI53">
            <v>43028.351491554313</v>
          </cell>
          <cell r="AJ53">
            <v>45833.920883413302</v>
          </cell>
          <cell r="AK53">
            <v>48800.966326826827</v>
          </cell>
          <cell r="AL53">
            <v>51937.238753626007</v>
          </cell>
          <cell r="AM53">
            <v>55250.756831657287</v>
          </cell>
          <cell r="AN53">
            <v>58749.809407702051</v>
          </cell>
          <cell r="AO53">
            <v>62451.329399472437</v>
          </cell>
          <cell r="AP53">
            <v>66386.062918020369</v>
          </cell>
        </row>
        <row r="54">
          <cell r="C54" t="str">
            <v>Москва - СадваТариф Первый</v>
          </cell>
          <cell r="D54">
            <v>8214.9719889359312</v>
          </cell>
          <cell r="E54">
            <v>8940.6826144385304</v>
          </cell>
          <cell r="F54">
            <v>9484.8324066686619</v>
          </cell>
          <cell r="G54">
            <v>10062.10036326646</v>
          </cell>
          <cell r="H54">
            <v>10674.50212923767</v>
          </cell>
          <cell r="I54">
            <v>11324.1760262178</v>
          </cell>
          <cell r="J54">
            <v>12013.3905188442</v>
          </cell>
          <cell r="K54">
            <v>12744.55213554801</v>
          </cell>
          <cell r="L54">
            <v>13838.321478827331</v>
          </cell>
          <cell r="M54">
            <v>14944.401081635589</v>
          </cell>
          <cell r="N54">
            <v>16105.957948949101</v>
          </cell>
          <cell r="O54">
            <v>17323.73595096849</v>
          </cell>
          <cell r="P54">
            <v>18624.973701552321</v>
          </cell>
          <cell r="Q54">
            <v>20002.906295426521</v>
          </cell>
          <cell r="R54">
            <v>21475.690980000159</v>
          </cell>
          <cell r="S54">
            <v>23046.864230235649</v>
          </cell>
          <cell r="T54">
            <v>24722.197085986299</v>
          </cell>
          <cell r="U54">
            <v>26507.741467106411</v>
          </cell>
          <cell r="V54">
            <v>28409.837284467401</v>
          </cell>
          <cell r="W54">
            <v>30435.121638635181</v>
          </cell>
          <cell r="X54">
            <v>32590.537995952531</v>
          </cell>
          <cell r="Y54">
            <v>34883.345314600767</v>
          </cell>
          <cell r="Z54">
            <v>37321.127091373382</v>
          </cell>
          <cell r="AA54">
            <v>39911.80029802613</v>
          </cell>
          <cell r="AB54">
            <v>42663.624174181146</v>
          </cell>
          <cell r="AC54">
            <v>45585.208841863307</v>
          </cell>
          <cell r="AD54">
            <v>48685.523704842148</v>
          </cell>
          <cell r="AE54">
            <v>51973.905594048811</v>
          </cell>
          <cell r="AF54">
            <v>55460.066618446574</v>
          </cell>
          <cell r="AG54">
            <v>59154.101678857623</v>
          </cell>
          <cell r="AH54">
            <v>63066.495600404771</v>
          </cell>
          <cell r="AI54">
            <v>67208.129837419372</v>
          </cell>
          <cell r="AJ54">
            <v>71590.288702905033</v>
          </cell>
          <cell r="AK54">
            <v>76224.665072950287</v>
          </cell>
          <cell r="AL54">
            <v>81123.365514848731</v>
          </cell>
          <cell r="AM54">
            <v>86298.91478613959</v>
          </cell>
          <cell r="AN54">
            <v>91764.259650325985</v>
          </cell>
          <cell r="AO54">
            <v>97545.848476742904</v>
          </cell>
          <cell r="AP54">
            <v>103691.70515085039</v>
          </cell>
        </row>
        <row r="55">
          <cell r="C55" t="str">
            <v>Новая Тверь - ЛоговежьНовая Тверь - Логовежь</v>
          </cell>
        </row>
        <row r="56">
          <cell r="C56" t="str">
            <v>Новая Тверь - ЛоговежьТариф Эконом</v>
          </cell>
          <cell r="D56">
            <v>442.48615888982482</v>
          </cell>
          <cell r="E56">
            <v>480.39303607205687</v>
          </cell>
          <cell r="F56">
            <v>509.63082271994227</v>
          </cell>
          <cell r="G56">
            <v>540.64808597110448</v>
          </cell>
          <cell r="H56">
            <v>573.55312872205695</v>
          </cell>
          <cell r="I56">
            <v>608.46084542402718</v>
          </cell>
          <cell r="J56">
            <v>645.49312325961034</v>
          </cell>
          <cell r="K56">
            <v>684.7792677359239</v>
          </cell>
          <cell r="L56">
            <v>743.54873738826859</v>
          </cell>
          <cell r="M56">
            <v>802.97965127311465</v>
          </cell>
          <cell r="N56">
            <v>865.39142161802602</v>
          </cell>
          <cell r="O56">
            <v>930.82401741413548</v>
          </cell>
          <cell r="P56">
            <v>1000.741000334997</v>
          </cell>
          <cell r="Q56">
            <v>1074.7788843333481</v>
          </cell>
          <cell r="R56">
            <v>1153.9132789443549</v>
          </cell>
          <cell r="S56">
            <v>1238.3342029862081</v>
          </cell>
          <cell r="T56">
            <v>1328.3517409877909</v>
          </cell>
          <cell r="U56">
            <v>1424.291069479608</v>
          </cell>
          <cell r="V56">
            <v>1526.4928390767491</v>
          </cell>
          <cell r="W56">
            <v>1635.313668734284</v>
          </cell>
          <cell r="X56">
            <v>1751.126638788593</v>
          </cell>
          <cell r="Y56">
            <v>1874.321781311033</v>
          </cell>
          <cell r="Z56">
            <v>2005.306566201361</v>
          </cell>
          <cell r="AA56">
            <v>2144.506381347981</v>
          </cell>
          <cell r="AB56">
            <v>2292.3650050806741</v>
          </cell>
          <cell r="AC56">
            <v>2449.3450690394202</v>
          </cell>
          <cell r="AD56">
            <v>2615.9285094805859</v>
          </cell>
          <cell r="AE56">
            <v>2792.6170049394509</v>
          </cell>
          <cell r="AF56">
            <v>2979.9323980663648</v>
          </cell>
          <cell r="AG56">
            <v>3178.417099353228</v>
          </cell>
          <cell r="AH56">
            <v>3388.6344703676818</v>
          </cell>
          <cell r="AI56">
            <v>3611.1691840154222</v>
          </cell>
          <cell r="AJ56">
            <v>3846.6275592563761</v>
          </cell>
          <cell r="AK56">
            <v>4095.6378676092618</v>
          </cell>
          <cell r="AL56">
            <v>4358.8506086913249</v>
          </cell>
          <cell r="AM56">
            <v>4636.9387519568936</v>
          </cell>
          <cell r="AN56">
            <v>4930.5979417202461</v>
          </cell>
          <cell r="AO56">
            <v>5241.2492789187427</v>
          </cell>
          <cell r="AP56">
            <v>5571.4731414871658</v>
          </cell>
        </row>
        <row r="57">
          <cell r="C57" t="str">
            <v>Новая Тверь - ЛоговежьТариф Комфорт</v>
          </cell>
          <cell r="D57">
            <v>607.78124839672103</v>
          </cell>
          <cell r="E57">
            <v>659.68118070319031</v>
          </cell>
          <cell r="F57">
            <v>699.83084185300766</v>
          </cell>
          <cell r="G57">
            <v>742.42410051265074</v>
          </cell>
          <cell r="H57">
            <v>787.60967945135383</v>
          </cell>
          <cell r="I57">
            <v>835.54535303625187</v>
          </cell>
          <cell r="J57">
            <v>886.39849813272201</v>
          </cell>
          <cell r="K57">
            <v>940.34667853374538</v>
          </cell>
          <cell r="L57">
            <v>1021.0495826527469</v>
          </cell>
          <cell r="M57">
            <v>1102.660789514506</v>
          </cell>
          <cell r="N57">
            <v>1188.3653423688729</v>
          </cell>
          <cell r="O57">
            <v>1278.2181270890439</v>
          </cell>
          <cell r="P57">
            <v>1374.228923210411</v>
          </cell>
          <cell r="Q57">
            <v>1475.898587558901</v>
          </cell>
          <cell r="R57">
            <v>1584.5668382439339</v>
          </cell>
          <cell r="S57">
            <v>1700.4946112677501</v>
          </cell>
          <cell r="T57">
            <v>1824.107718232048</v>
          </cell>
          <cell r="U57">
            <v>1955.852695246786</v>
          </cell>
          <cell r="V57">
            <v>2096.1973276108652</v>
          </cell>
          <cell r="W57">
            <v>2245.6313285292631</v>
          </cell>
          <cell r="X57">
            <v>2404.6670161629841</v>
          </cell>
          <cell r="Y57">
            <v>2573.839986988296</v>
          </cell>
          <cell r="Z57">
            <v>2753.7097833057519</v>
          </cell>
          <cell r="AA57">
            <v>2944.8605526016968</v>
          </cell>
          <cell r="AB57">
            <v>3147.90169632573</v>
          </cell>
          <cell r="AC57">
            <v>3363.4685055074419</v>
          </cell>
          <cell r="AD57">
            <v>3592.2227804951981</v>
          </cell>
          <cell r="AE57">
            <v>3834.8534319592809</v>
          </cell>
          <cell r="AF57">
            <v>4092.0770601621489</v>
          </cell>
          <cell r="AG57">
            <v>4364.638509360173</v>
          </cell>
          <cell r="AH57">
            <v>4653.3113940652183</v>
          </cell>
          <cell r="AI57">
            <v>4958.898593760945</v>
          </cell>
          <cell r="AJ57">
            <v>5282.2327125388638</v>
          </cell>
          <cell r="AK57">
            <v>5624.1764999938914</v>
          </cell>
          <cell r="AL57">
            <v>5985.6232295986347</v>
          </cell>
          <cell r="AM57">
            <v>6367.4970306615442</v>
          </cell>
          <cell r="AN57">
            <v>6770.7531698666389</v>
          </cell>
          <cell r="AO57">
            <v>7197.3431191834516</v>
          </cell>
          <cell r="AP57">
            <v>7650.8102829389791</v>
          </cell>
        </row>
        <row r="58">
          <cell r="C58" t="str">
            <v>Новая Тверь - ЛоговежьТариф Бизнес</v>
          </cell>
          <cell r="D58">
            <v>1577.8344682255211</v>
          </cell>
          <cell r="E58">
            <v>1710.275702705879</v>
          </cell>
          <cell r="F58">
            <v>1814.36687878462</v>
          </cell>
          <cell r="G58">
            <v>1924.7932749219231</v>
          </cell>
          <cell r="H58">
            <v>2041.9404666747421</v>
          </cell>
          <cell r="I58">
            <v>2166.2174965844029</v>
          </cell>
          <cell r="J58">
            <v>2298.0583024293719</v>
          </cell>
          <cell r="K58">
            <v>2437.9232324046552</v>
          </cell>
          <cell r="L58">
            <v>2647.1519023894548</v>
          </cell>
          <cell r="M58">
            <v>2858.7354191655209</v>
          </cell>
          <cell r="N58">
            <v>3080.9312595893011</v>
          </cell>
          <cell r="O58">
            <v>3313.8817196335931</v>
          </cell>
          <cell r="P58">
            <v>3562.7973119031599</v>
          </cell>
          <cell r="Q58">
            <v>3826.3839681908739</v>
          </cell>
          <cell r="R58">
            <v>4108.115013790889</v>
          </cell>
          <cell r="S58">
            <v>4408.6669459531659</v>
          </cell>
          <cell r="T58">
            <v>4729.143714976145</v>
          </cell>
          <cell r="U58">
            <v>5070.703001087154</v>
          </cell>
          <cell r="V58">
            <v>5434.5575747186413</v>
          </cell>
          <cell r="W58">
            <v>5821.9770561360629</v>
          </cell>
          <cell r="X58">
            <v>6234.2896707435302</v>
          </cell>
          <cell r="Y58">
            <v>6672.883994820937</v>
          </cell>
          <cell r="Z58">
            <v>7139.2106860939612</v>
          </cell>
          <cell r="AA58">
            <v>7634.784193180988</v>
          </cell>
          <cell r="AB58">
            <v>8161.1844376000663</v>
          </cell>
          <cell r="AC58">
            <v>8720.0584616556262</v>
          </cell>
          <cell r="AD58">
            <v>9313.1220351603642</v>
          </cell>
          <cell r="AE58">
            <v>9942.161213583473</v>
          </cell>
          <cell r="AF58">
            <v>10609.033839854659</v>
          </cell>
          <cell r="AG58">
            <v>11315.670981694569</v>
          </cell>
          <cell r="AH58">
            <v>12064.07829598961</v>
          </cell>
          <cell r="AI58">
            <v>12856.337311383109</v>
          </cell>
          <cell r="AJ58">
            <v>13694.60661991823</v>
          </cell>
          <cell r="AK58">
            <v>14581.12296824298</v>
          </cell>
          <cell r="AL58">
            <v>15518.202238575581</v>
          </cell>
          <cell r="AM58">
            <v>16508.240309332199</v>
          </cell>
          <cell r="AN58">
            <v>17553.713785041</v>
          </cell>
          <cell r="AO58">
            <v>18659.68201132476</v>
          </cell>
          <cell r="AP58">
            <v>19835.331544511879</v>
          </cell>
        </row>
        <row r="59">
          <cell r="C59" t="str">
            <v>Новая Тверь - ЛоговежьТариф Первый</v>
          </cell>
          <cell r="D59">
            <v>2431.8698280022918</v>
          </cell>
          <cell r="E59">
            <v>2646.701208608014</v>
          </cell>
          <cell r="F59">
            <v>2807.785319840581</v>
          </cell>
          <cell r="G59">
            <v>2978.6733676894901</v>
          </cell>
          <cell r="H59">
            <v>3159.962041501949</v>
          </cell>
          <cell r="I59">
            <v>3352.2843464634898</v>
          </cell>
          <cell r="J59">
            <v>3556.3118138605082</v>
          </cell>
          <cell r="K59">
            <v>3772.7568458642859</v>
          </cell>
          <cell r="L59">
            <v>4096.5442754863561</v>
          </cell>
          <cell r="M59">
            <v>4423.9758987543228</v>
          </cell>
          <cell r="N59">
            <v>4767.8304003805006</v>
          </cell>
          <cell r="O59">
            <v>5128.3279875061089</v>
          </cell>
          <cell r="P59">
            <v>5513.5320793720712</v>
          </cell>
          <cell r="Q59">
            <v>5921.4400679296386</v>
          </cell>
          <cell r="R59">
            <v>6357.4270247180866</v>
          </cell>
          <cell r="S59">
            <v>6822.5398488345918</v>
          </cell>
          <cell r="T59">
            <v>7318.4869353551676</v>
          </cell>
          <cell r="U59">
            <v>7847.0598279777096</v>
          </cell>
          <cell r="V59">
            <v>8410.1353240888911</v>
          </cell>
          <cell r="W59">
            <v>9009.6781978392974</v>
          </cell>
          <cell r="X59">
            <v>9647.743916529791</v>
          </cell>
          <cell r="Y59">
            <v>10326.481342190291</v>
          </cell>
          <cell r="Z59">
            <v>11048.135409687</v>
          </cell>
          <cell r="AA59">
            <v>11815.049772141059</v>
          </cell>
          <cell r="AB59">
            <v>12629.669403883039</v>
          </cell>
          <cell r="AC59">
            <v>13494.543150605419</v>
          </cell>
          <cell r="AD59">
            <v>14412.326215811199</v>
          </cell>
          <cell r="AE59">
            <v>15385.78257209352</v>
          </cell>
          <cell r="AF59">
            <v>16417.787285220798</v>
          </cell>
          <cell r="AG59">
            <v>17511.32873844733</v>
          </cell>
          <cell r="AH59">
            <v>18669.510743922729</v>
          </cell>
          <cell r="AI59">
            <v>19895.55452753905</v>
          </cell>
          <cell r="AJ59">
            <v>21192.8005730326</v>
          </cell>
          <cell r="AK59">
            <v>22564.71031065541</v>
          </cell>
          <cell r="AL59">
            <v>24014.867635247501</v>
          </cell>
          <cell r="AM59">
            <v>25546.980238083259</v>
          </cell>
          <cell r="AN59">
            <v>27164.88073643465</v>
          </cell>
          <cell r="AO59">
            <v>28876.398614257589</v>
          </cell>
          <cell r="AP59">
            <v>30695.75033366917</v>
          </cell>
        </row>
        <row r="60">
          <cell r="C60" t="str">
            <v xml:space="preserve">Великий Новгород - Валдай Великий Новгород - Валдай </v>
          </cell>
        </row>
        <row r="61">
          <cell r="C61" t="str">
            <v>Великий Новгород - Валдай Тариф Эконом</v>
          </cell>
          <cell r="D61">
            <v>883.25144817248622</v>
          </cell>
          <cell r="E61">
            <v>958.917779184751</v>
          </cell>
          <cell r="F61">
            <v>1017.279644023405</v>
          </cell>
          <cell r="G61">
            <v>1079.1935415194789</v>
          </cell>
          <cell r="H61">
            <v>1144.8756562660169</v>
          </cell>
          <cell r="I61">
            <v>1214.5553303303241</v>
          </cell>
          <cell r="J61">
            <v>1288.4758640470609</v>
          </cell>
          <cell r="K61">
            <v>1366.8953655493831</v>
          </cell>
          <cell r="L61">
            <v>1484.205744949719</v>
          </cell>
          <cell r="M61">
            <v>1602.836440397245</v>
          </cell>
          <cell r="N61">
            <v>1727.417255938364</v>
          </cell>
          <cell r="O61">
            <v>1858.027974112237</v>
          </cell>
          <cell r="P61">
            <v>1997.5900263392271</v>
          </cell>
          <cell r="Q61">
            <v>2145.377854155673</v>
          </cell>
          <cell r="R61">
            <v>2303.3388823961718</v>
          </cell>
          <cell r="S61">
            <v>2471.852409696337</v>
          </cell>
          <cell r="T61">
            <v>2651.537399166521</v>
          </cell>
          <cell r="U61">
            <v>2843.0429392261199</v>
          </cell>
          <cell r="V61">
            <v>3047.0490062835561</v>
          </cell>
          <cell r="W61">
            <v>3264.2674513248649</v>
          </cell>
          <cell r="X61">
            <v>3495.442984078863</v>
          </cell>
          <cell r="Y61">
            <v>3741.3541518174561</v>
          </cell>
          <cell r="Z61">
            <v>4002.8143096520189</v>
          </cell>
          <cell r="AA61">
            <v>4280.6725789865141</v>
          </cell>
          <cell r="AB61">
            <v>4575.8147905855176</v>
          </cell>
          <cell r="AC61">
            <v>4889.1644085117487</v>
          </cell>
          <cell r="AD61">
            <v>5221.6834309832529</v>
          </cell>
          <cell r="AE61">
            <v>5574.3732639963519</v>
          </cell>
          <cell r="AF61">
            <v>5948.2755633574043</v>
          </cell>
          <cell r="AG61">
            <v>6344.4730405656264</v>
          </cell>
          <cell r="AH61">
            <v>6764.0902277910491</v>
          </cell>
          <cell r="AI61">
            <v>7208.2941969980402</v>
          </cell>
          <cell r="AJ61">
            <v>7678.2952280759318</v>
          </cell>
          <cell r="AK61">
            <v>8175.3474206561004</v>
          </cell>
          <cell r="AL61">
            <v>8700.7492441198428</v>
          </cell>
          <cell r="AM61">
            <v>9255.8440201353533</v>
          </cell>
          <cell r="AN61">
            <v>9842.0203319060984</v>
          </cell>
          <cell r="AO61">
            <v>10462.11485451378</v>
          </cell>
          <cell r="AP61">
            <v>11121.27830849945</v>
          </cell>
        </row>
        <row r="62">
          <cell r="C62" t="str">
            <v>Великий Новгород - Валдай Тариф Комфорт</v>
          </cell>
          <cell r="D62">
            <v>1213.3128780293589</v>
          </cell>
          <cell r="E62">
            <v>1316.9206421754279</v>
          </cell>
          <cell r="F62">
            <v>1397.0713560220499</v>
          </cell>
          <cell r="G62">
            <v>1482.1002202479631</v>
          </cell>
          <cell r="H62">
            <v>1572.304129914743</v>
          </cell>
          <cell r="I62">
            <v>1667.998049776523</v>
          </cell>
          <cell r="J62">
            <v>1769.516114041593</v>
          </cell>
          <cell r="K62">
            <v>1877.212793067938</v>
          </cell>
          <cell r="L62">
            <v>2038.3198905972761</v>
          </cell>
          <cell r="M62">
            <v>2201.240231654353</v>
          </cell>
          <cell r="N62">
            <v>2372.3321137390012</v>
          </cell>
          <cell r="O62">
            <v>2551.7051054450922</v>
          </cell>
          <cell r="P62">
            <v>2743.3713269206642</v>
          </cell>
          <cell r="Q62">
            <v>2946.334339327434</v>
          </cell>
          <cell r="R62">
            <v>3163.2686201017732</v>
          </cell>
          <cell r="S62">
            <v>3394.695075429413</v>
          </cell>
          <cell r="T62">
            <v>3641.463752430624</v>
          </cell>
          <cell r="U62">
            <v>3904.4660705332781</v>
          </cell>
          <cell r="V62">
            <v>4184.6358688921846</v>
          </cell>
          <cell r="W62">
            <v>4482.9507613111682</v>
          </cell>
          <cell r="X62">
            <v>4800.4334878369709</v>
          </cell>
          <cell r="Y62">
            <v>5138.1532589853823</v>
          </cell>
          <cell r="Z62">
            <v>5497.2270882885778</v>
          </cell>
          <cell r="AA62">
            <v>5878.8211085776074</v>
          </cell>
          <cell r="AB62">
            <v>6284.1518671359481</v>
          </cell>
          <cell r="AC62">
            <v>6714.4875945803487</v>
          </cell>
          <cell r="AD62">
            <v>7171.1494420444969</v>
          </cell>
          <cell r="AE62">
            <v>7655.5126809607927</v>
          </cell>
          <cell r="AF62">
            <v>8169.0078594567576</v>
          </cell>
          <cell r="AG62">
            <v>8713.1219091064868</v>
          </cell>
          <cell r="AH62">
            <v>9289.39919550591</v>
          </cell>
          <cell r="AI62">
            <v>9899.4425058742763</v>
          </cell>
          <cell r="AJ62">
            <v>10544.91396662499</v>
          </cell>
          <cell r="AK62">
            <v>11227.535883598821</v>
          </cell>
          <cell r="AL62">
            <v>11949.09149741199</v>
          </cell>
          <cell r="AM62">
            <v>12711.425646143771</v>
          </cell>
          <cell r="AN62">
            <v>13516.445327373831</v>
          </cell>
          <cell r="AO62">
            <v>14368.04626193595</v>
          </cell>
          <cell r="AP62">
            <v>15273.302143059969</v>
          </cell>
        </row>
        <row r="63">
          <cell r="C63" t="str">
            <v>Великий Новгород - Валдай Тариф Бизнес</v>
          </cell>
          <cell r="D63">
            <v>2593.8772998423278</v>
          </cell>
          <cell r="E63">
            <v>2811.6037588593181</v>
          </cell>
          <cell r="F63">
            <v>2982.7242053838409</v>
          </cell>
          <cell r="G63">
            <v>3164.2594221712379</v>
          </cell>
          <cell r="H63">
            <v>3356.8432752604981</v>
          </cell>
          <cell r="I63">
            <v>3561.148209184923</v>
          </cell>
          <cell r="J63">
            <v>3777.887594944943</v>
          </cell>
          <cell r="K63">
            <v>4007.818220883752</v>
          </cell>
          <cell r="L63">
            <v>4351.779205688531</v>
          </cell>
          <cell r="M63">
            <v>4699.6114353922376</v>
          </cell>
          <cell r="N63">
            <v>5064.8897698444007</v>
          </cell>
          <cell r="O63">
            <v>5447.8481361781442</v>
          </cell>
          <cell r="P63">
            <v>5857.0523444566988</v>
          </cell>
          <cell r="Q63">
            <v>6290.3750142643657</v>
          </cell>
          <cell r="R63">
            <v>6753.5261106303706</v>
          </cell>
          <cell r="S63">
            <v>7247.6177596334737</v>
          </cell>
          <cell r="T63">
            <v>7774.4647977960994</v>
          </cell>
          <cell r="U63">
            <v>8335.9703908321535</v>
          </cell>
          <cell r="V63">
            <v>8934.1282698699615</v>
          </cell>
          <cell r="W63">
            <v>9571.0256241884381</v>
          </cell>
          <cell r="X63">
            <v>10248.845986847729</v>
          </cell>
          <cell r="Y63">
            <v>10969.872104589669</v>
          </cell>
          <cell r="Z63">
            <v>11736.488782804359</v>
          </cell>
          <cell r="AA63">
            <v>12551.185695771381</v>
          </cell>
          <cell r="AB63">
            <v>13416.560151791269</v>
          </cell>
          <cell r="AC63">
            <v>14335.319802225051</v>
          </cell>
          <cell r="AD63">
            <v>15310.285282860899</v>
          </cell>
          <cell r="AE63">
            <v>16344.39277542835</v>
          </cell>
          <cell r="AF63">
            <v>17440.69647648542</v>
          </cell>
          <cell r="AG63">
            <v>18602.370960314762</v>
          </cell>
          <cell r="AH63">
            <v>19832.713421884309</v>
          </cell>
          <cell r="AI63">
            <v>21135.145785360161</v>
          </cell>
          <cell r="AJ63">
            <v>22513.2166631051</v>
          </cell>
          <cell r="AK63">
            <v>23970.603149562579</v>
          </cell>
          <cell r="AL63">
            <v>25511.112433912371</v>
          </cell>
          <cell r="AM63">
            <v>27138.683214897639</v>
          </cell>
          <cell r="AN63">
            <v>28857.386900765359</v>
          </cell>
          <cell r="AO63">
            <v>30675.540790970699</v>
          </cell>
          <cell r="AP63">
            <v>32608.247103397669</v>
          </cell>
        </row>
        <row r="64">
          <cell r="C64" t="str">
            <v>Великий Новгород - Валдай Тариф Первый</v>
          </cell>
          <cell r="D64">
            <v>4009.082748371728</v>
          </cell>
          <cell r="E64">
            <v>4363.2451183628846</v>
          </cell>
          <cell r="F64">
            <v>4628.8019026706133</v>
          </cell>
          <cell r="G64">
            <v>4910.5210624073716</v>
          </cell>
          <cell r="H64">
            <v>5209.3862756222452</v>
          </cell>
          <cell r="I64">
            <v>5526.441089194147</v>
          </cell>
          <cell r="J64">
            <v>5862.7925625817224</v>
          </cell>
          <cell r="K64">
            <v>6219.6151333399357</v>
          </cell>
          <cell r="L64">
            <v>6753.3980617229927</v>
          </cell>
          <cell r="M64">
            <v>7293.1886611208647</v>
          </cell>
          <cell r="N64">
            <v>7860.0533569799763</v>
          </cell>
          <cell r="O64">
            <v>8454.3551739329632</v>
          </cell>
          <cell r="P64">
            <v>9089.3871404961719</v>
          </cell>
          <cell r="Q64">
            <v>9761.8478376184903</v>
          </cell>
          <cell r="R64">
            <v>10480.59839196519</v>
          </cell>
          <cell r="S64">
            <v>11247.36467926425</v>
          </cell>
          <cell r="T64">
            <v>12064.963090898071</v>
          </cell>
          <cell r="U64">
            <v>12936.347093721421</v>
          </cell>
          <cell r="V64">
            <v>13864.610700390111</v>
          </cell>
          <cell r="W64">
            <v>14852.992958513059</v>
          </cell>
          <cell r="X64">
            <v>15904.882428777521</v>
          </cell>
          <cell r="Y64">
            <v>17023.821638663219</v>
          </cell>
          <cell r="Z64">
            <v>18213.51149746211</v>
          </cell>
          <cell r="AA64">
            <v>19477.815657409181</v>
          </cell>
          <cell r="AB64">
            <v>20820.76480480847</v>
          </cell>
          <cell r="AC64">
            <v>22246.56086411178</v>
          </cell>
          <cell r="AD64">
            <v>23759.581096977949</v>
          </cell>
          <cell r="AE64">
            <v>25364.38207741125</v>
          </cell>
          <cell r="AF64">
            <v>27065.70352315476</v>
          </cell>
          <cell r="AG64">
            <v>28868.471962599251</v>
          </cell>
          <cell r="AH64">
            <v>30777.80421556787</v>
          </cell>
          <cell r="AI64">
            <v>32799.010665455193</v>
          </cell>
          <cell r="AJ64">
            <v>34937.598299339297</v>
          </cell>
          <cell r="AK64">
            <v>37199.273491857719</v>
          </cell>
          <cell r="AL64">
            <v>39589.94450784006</v>
          </cell>
          <cell r="AM64">
            <v>42115.72369793657</v>
          </cell>
          <cell r="AN64">
            <v>44782.929360770453</v>
          </cell>
          <cell r="AO64">
            <v>47604.468868559947</v>
          </cell>
          <cell r="AP64">
            <v>50603.778908729822</v>
          </cell>
        </row>
        <row r="65">
          <cell r="C65" t="str">
            <v xml:space="preserve">Санкт-Петербург - Валдай Санкт-Петербург - Валдай </v>
          </cell>
        </row>
        <row r="66">
          <cell r="C66" t="str">
            <v>Санкт-Петербург - Валдай Тариф Эконом</v>
          </cell>
          <cell r="D66">
            <v>1836.9556860889511</v>
          </cell>
          <cell r="E66">
            <v>1994.3238933939731</v>
          </cell>
          <cell r="F66">
            <v>2115.702872944973</v>
          </cell>
          <cell r="G66">
            <v>2244.4692466527822</v>
          </cell>
          <cell r="H66">
            <v>2381.0726277257991</v>
          </cell>
          <cell r="I66">
            <v>2525.9899938304252</v>
          </cell>
          <cell r="J66">
            <v>2679.7273525527312</v>
          </cell>
          <cell r="K66">
            <v>2842.821508223813</v>
          </cell>
          <cell r="L66">
            <v>3086.7995610450921</v>
          </cell>
          <cell r="M66">
            <v>3333.5235613259988</v>
          </cell>
          <cell r="N66">
            <v>3592.6224147265398</v>
          </cell>
          <cell r="O66">
            <v>3864.2620502007671</v>
          </cell>
          <cell r="P66">
            <v>4154.5183593537931</v>
          </cell>
          <cell r="Q66">
            <v>4461.8823508919531</v>
          </cell>
          <cell r="R66">
            <v>4790.4042113510786</v>
          </cell>
          <cell r="S66">
            <v>5140.872792860263</v>
          </cell>
          <cell r="T66">
            <v>5514.5753933994811</v>
          </cell>
          <cell r="U66">
            <v>5912.8619645201843</v>
          </cell>
          <cell r="V66">
            <v>6337.1466975406483</v>
          </cell>
          <cell r="W66">
            <v>6788.910075418642</v>
          </cell>
          <cell r="X66">
            <v>7269.700919583971</v>
          </cell>
          <cell r="Y66">
            <v>7781.1384256133588</v>
          </cell>
          <cell r="Z66">
            <v>8324.9141812191647</v>
          </cell>
          <cell r="AA66">
            <v>8902.7941596068813</v>
          </cell>
          <cell r="AB66">
            <v>9516.6206808352745</v>
          </cell>
          <cell r="AC66">
            <v>10168.31433338956</v>
          </cell>
          <cell r="AD66">
            <v>10859.87584775289</v>
          </cell>
          <cell r="AE66">
            <v>11593.387913337019</v>
          </cell>
          <cell r="AF66">
            <v>12371.01692971072</v>
          </cell>
          <cell r="AG66">
            <v>13195.01468264689</v>
          </cell>
          <cell r="AH66">
            <v>14067.71993509711</v>
          </cell>
          <cell r="AI66">
            <v>14991.55992279981</v>
          </cell>
          <cell r="AJ66">
            <v>15969.051743835131</v>
          </cell>
          <cell r="AK66">
            <v>17002.8036310608</v>
          </cell>
          <cell r="AL66">
            <v>18095.51609599949</v>
          </cell>
          <cell r="AM66">
            <v>19249.982932402389</v>
          </cell>
          <cell r="AN66">
            <v>20469.092067389771</v>
          </cell>
          <cell r="AO66">
            <v>21758.74311927726</v>
          </cell>
          <cell r="AP66">
            <v>23129.648377758709</v>
          </cell>
        </row>
        <row r="67">
          <cell r="C67" t="str">
            <v>Санкт-Петербург - Валдай Тариф Комфорт</v>
          </cell>
          <cell r="D67">
            <v>2523.985445490443</v>
          </cell>
          <cell r="E67">
            <v>2739.5147565855468</v>
          </cell>
          <cell r="F67">
            <v>2906.2477063941028</v>
          </cell>
          <cell r="G67">
            <v>3083.128393675157</v>
          </cell>
          <cell r="H67">
            <v>3270.7744322592612</v>
          </cell>
          <cell r="I67">
            <v>3469.8410253257998</v>
          </cell>
          <cell r="J67">
            <v>3681.0232531742049</v>
          </cell>
          <cell r="K67">
            <v>3905.058500234009</v>
          </cell>
          <cell r="L67">
            <v>4240.2003887712044</v>
          </cell>
          <cell r="M67">
            <v>4579.1142642014893</v>
          </cell>
          <cell r="N67">
            <v>4935.0269294693244</v>
          </cell>
          <cell r="O67">
            <v>5308.1663138592558</v>
          </cell>
          <cell r="P67">
            <v>5706.8786016429422</v>
          </cell>
          <cell r="Q67">
            <v>6129.0909580465204</v>
          </cell>
          <cell r="R67">
            <v>6580.366945648062</v>
          </cell>
          <cell r="S67">
            <v>7061.7901758186017</v>
          </cell>
          <cell r="T67">
            <v>7575.1289530065551</v>
          </cell>
          <cell r="U67">
            <v>8122.2376461076319</v>
          </cell>
          <cell r="V67">
            <v>8705.0588673514067</v>
          </cell>
          <cell r="W67">
            <v>9325.6262908683148</v>
          </cell>
          <cell r="X67">
            <v>9986.067464333184</v>
          </cell>
          <cell r="Y67">
            <v>10688.606605282061</v>
          </cell>
          <cell r="Z67">
            <v>11435.56737313427</v>
          </cell>
          <cell r="AA67">
            <v>12229.37560737967</v>
          </cell>
          <cell r="AB67">
            <v>13072.56202181259</v>
          </cell>
          <cell r="AC67">
            <v>13967.764844112089</v>
          </cell>
          <cell r="AD67">
            <v>14917.732389484499</v>
          </cell>
          <cell r="AE67">
            <v>15925.32555650086</v>
          </cell>
          <cell r="AF67">
            <v>16993.520232682291</v>
          </cell>
          <cell r="AG67">
            <v>18125.409596811791</v>
          </cell>
          <cell r="AH67">
            <v>19324.206304385909</v>
          </cell>
          <cell r="AI67">
            <v>20593.244542065691</v>
          </cell>
          <cell r="AJ67">
            <v>21935.98193644686</v>
          </cell>
          <cell r="AK67">
            <v>23356.001301948931</v>
          </cell>
          <cell r="AL67">
            <v>24857.01221212266</v>
          </cell>
          <cell r="AM67">
            <v>26442.852378201231</v>
          </cell>
          <cell r="AN67">
            <v>28117.488818274429</v>
          </cell>
          <cell r="AO67">
            <v>29889.025577772041</v>
          </cell>
          <cell r="AP67">
            <v>31772.177656494441</v>
          </cell>
        </row>
        <row r="68">
          <cell r="C68" t="str">
            <v>Санкт-Петербург - Валдай Тариф Бизнес</v>
          </cell>
          <cell r="D68">
            <v>5395.3901679295332</v>
          </cell>
          <cell r="E68">
            <v>5848.2717272653526</v>
          </cell>
          <cell r="F68">
            <v>6204.2105277499568</v>
          </cell>
          <cell r="G68">
            <v>6581.8125538161921</v>
          </cell>
          <cell r="H68">
            <v>6982.3962774653164</v>
          </cell>
          <cell r="I68">
            <v>7407.3604158315939</v>
          </cell>
          <cell r="J68">
            <v>7858.1888150792274</v>
          </cell>
          <cell r="K68">
            <v>8336.4556315441187</v>
          </cell>
          <cell r="L68">
            <v>9051.9111065119869</v>
          </cell>
          <cell r="M68">
            <v>9775.4189579999747</v>
          </cell>
          <cell r="N68">
            <v>10535.21555068409</v>
          </cell>
          <cell r="O68">
            <v>11331.787464308931</v>
          </cell>
          <cell r="P68">
            <v>12182.95199786482</v>
          </cell>
          <cell r="Q68">
            <v>13084.284097252619</v>
          </cell>
          <cell r="R68">
            <v>14047.660765744549</v>
          </cell>
          <cell r="S68">
            <v>15075.39527934296</v>
          </cell>
          <cell r="T68">
            <v>16171.26258574108</v>
          </cell>
          <cell r="U68">
            <v>17339.221361620079</v>
          </cell>
          <cell r="V68">
            <v>18583.41866410094</v>
          </cell>
          <cell r="W68">
            <v>19908.195947775512</v>
          </cell>
          <cell r="X68">
            <v>21318.095066957689</v>
          </cell>
          <cell r="Y68">
            <v>22817.864245215191</v>
          </cell>
          <cell r="Z68">
            <v>24412.463993037389</v>
          </cell>
          <cell r="AA68">
            <v>26107.07295327308</v>
          </cell>
          <cell r="AB68">
            <v>27907.09365273752</v>
          </cell>
          <cell r="AC68">
            <v>29818.158137145521</v>
          </cell>
          <cell r="AD68">
            <v>31846.13346528195</v>
          </cell>
          <cell r="AE68">
            <v>33997.127037074948</v>
          </cell>
          <cell r="AF68">
            <v>36277.491729000678</v>
          </cell>
          <cell r="AG68">
            <v>38693.830809021318</v>
          </cell>
          <cell r="AH68">
            <v>41253.002602051798</v>
          </cell>
          <cell r="AI68">
            <v>43962.124875768452</v>
          </cell>
          <cell r="AJ68">
            <v>46828.5789154206</v>
          </cell>
          <cell r="AK68">
            <v>49860.013255196049</v>
          </cell>
          <cell r="AL68">
            <v>53064.347032622718</v>
          </cell>
          <cell r="AM68">
            <v>56449.772931477317</v>
          </cell>
          <cell r="AN68">
            <v>60024.759677719572</v>
          </cell>
          <cell r="AO68">
            <v>63806.607656262357</v>
          </cell>
          <cell r="AP68">
            <v>67826.730210323673</v>
          </cell>
        </row>
        <row r="69">
          <cell r="C69" t="str">
            <v>Санкт-Петербург - Валдай Тариф Первый</v>
          </cell>
          <cell r="D69">
            <v>8396.0442481068312</v>
          </cell>
          <cell r="E69">
            <v>9137.7507969845883</v>
          </cell>
          <cell r="F69">
            <v>9693.8945962958387</v>
          </cell>
          <cell r="G69">
            <v>10283.886541872411</v>
          </cell>
          <cell r="H69">
            <v>10909.786707038889</v>
          </cell>
          <cell r="I69">
            <v>11573.78054575577</v>
          </cell>
          <cell r="J69">
            <v>12278.186523563279</v>
          </cell>
          <cell r="K69">
            <v>13025.46421296142</v>
          </cell>
          <cell r="L69">
            <v>14143.342133393069</v>
          </cell>
          <cell r="M69">
            <v>15273.80165286728</v>
          </cell>
          <cell r="N69">
            <v>16460.961252168581</v>
          </cell>
          <cell r="O69">
            <v>17705.581197689571</v>
          </cell>
          <cell r="P69">
            <v>19035.500489675371</v>
          </cell>
          <cell r="Q69">
            <v>20443.805112583152</v>
          </cell>
          <cell r="R69">
            <v>21949.052531109781</v>
          </cell>
          <cell r="S69">
            <v>23554.857170271749</v>
          </cell>
          <cell r="T69">
            <v>25267.117273670061</v>
          </cell>
          <cell r="U69">
            <v>27092.018155990019</v>
          </cell>
          <cell r="V69">
            <v>29036.039470756601</v>
          </cell>
          <cell r="W69">
            <v>31105.964611766569</v>
          </cell>
          <cell r="X69">
            <v>33308.89009142774</v>
          </cell>
          <cell r="Y69">
            <v>35652.234867974839</v>
          </cell>
          <cell r="Z69">
            <v>38143.749591649808</v>
          </cell>
          <cell r="AA69">
            <v>40791.52573802456</v>
          </cell>
          <cell r="AB69">
            <v>43604.00459471596</v>
          </cell>
          <cell r="AC69">
            <v>46589.98606580156</v>
          </cell>
          <cell r="AD69">
            <v>49758.637256297618</v>
          </cell>
          <cell r="AE69">
            <v>53119.500797115179</v>
          </cell>
          <cell r="AF69">
            <v>56682.502868977419</v>
          </cell>
          <cell r="AG69">
            <v>60457.960881864259</v>
          </cell>
          <cell r="AH69">
            <v>64456.590764665467</v>
          </cell>
          <cell r="AI69">
            <v>68689.513817876388</v>
          </cell>
          <cell r="AJ69">
            <v>73168.263080369841</v>
          </cell>
          <cell r="AK69">
            <v>77904.78915954406</v>
          </cell>
          <cell r="AL69">
            <v>82911.465472475364</v>
          </cell>
          <cell r="AM69">
            <v>88201.092844125567</v>
          </cell>
          <cell r="AN69">
            <v>93786.903407165126</v>
          </cell>
          <cell r="AO69">
            <v>99695.928498952941</v>
          </cell>
          <cell r="AP69">
            <v>105977.2505348438</v>
          </cell>
        </row>
        <row r="70">
          <cell r="C70" t="str">
            <v xml:space="preserve">Новая Тверь - Выползово Новая Тверь - Выползово </v>
          </cell>
        </row>
        <row r="71">
          <cell r="C71" t="str">
            <v>Новая Тверь - Выползово Тариф Эконом</v>
          </cell>
          <cell r="D71">
            <v>1236.90897778833</v>
          </cell>
          <cell r="E71">
            <v>1342.8724204059711</v>
          </cell>
          <cell r="F71">
            <v>1424.602617088651</v>
          </cell>
          <cell r="G71">
            <v>1511.3070949824771</v>
          </cell>
          <cell r="H71">
            <v>1603.2885998848619</v>
          </cell>
          <cell r="I71">
            <v>1700.868303374546</v>
          </cell>
          <cell r="J71">
            <v>1804.3869242455551</v>
          </cell>
          <cell r="K71">
            <v>1914.2059181941111</v>
          </cell>
          <cell r="L71">
            <v>2078.4878582557521</v>
          </cell>
          <cell r="M71">
            <v>2244.6187743656828</v>
          </cell>
          <cell r="N71">
            <v>2419.0822632417412</v>
          </cell>
          <cell r="O71">
            <v>2601.9900526814431</v>
          </cell>
          <cell r="P71">
            <v>2797.4333273177908</v>
          </cell>
          <cell r="Q71">
            <v>3004.3960120801248</v>
          </cell>
          <cell r="R71">
            <v>3225.6052887539558</v>
          </cell>
          <cell r="S71">
            <v>3461.5923287159312</v>
          </cell>
          <cell r="T71">
            <v>3713.2239304634659</v>
          </cell>
          <cell r="U71">
            <v>3981.4090801012421</v>
          </cell>
          <cell r="V71">
            <v>4267.1000194014096</v>
          </cell>
          <cell r="W71">
            <v>4571.2936274263193</v>
          </cell>
          <cell r="X71">
            <v>4895.0327987574938</v>
          </cell>
          <cell r="Y71">
            <v>5239.4078142116177</v>
          </cell>
          <cell r="Z71">
            <v>5605.5576996476038</v>
          </cell>
          <cell r="AA71">
            <v>5994.6715681882961</v>
          </cell>
          <cell r="AB71">
            <v>6407.9899408968322</v>
          </cell>
          <cell r="AC71">
            <v>6846.80604066258</v>
          </cell>
          <cell r="AD71">
            <v>7312.4670537652519</v>
          </cell>
          <cell r="AE71">
            <v>7806.3753533001054</v>
          </cell>
          <cell r="AF71">
            <v>8329.9896783626882</v>
          </cell>
          <cell r="AG71">
            <v>8884.8262626104788</v>
          </cell>
          <cell r="AH71">
            <v>9472.4599055411763</v>
          </cell>
          <cell r="AI71">
            <v>10094.52497955625</v>
          </cell>
          <cell r="AJ71">
            <v>10752.716365613829</v>
          </cell>
          <cell r="AK71">
            <v>11448.790310019889</v>
          </cell>
          <cell r="AL71">
            <v>12184.56519466152</v>
          </cell>
          <cell r="AM71">
            <v>12961.92221275372</v>
          </cell>
          <cell r="AN71">
            <v>13782.80594195254</v>
          </cell>
          <cell r="AO71">
            <v>14651.188873764069</v>
          </cell>
          <cell r="AP71">
            <v>15574.28409851781</v>
          </cell>
        </row>
        <row r="72">
          <cell r="C72" t="str">
            <v>Новая Тверь - Выползово Тариф Комфорт</v>
          </cell>
          <cell r="D72">
            <v>1699.256636245648</v>
          </cell>
          <cell r="E72">
            <v>1844.3603304203359</v>
          </cell>
          <cell r="F72">
            <v>1956.6121946096509</v>
          </cell>
          <cell r="G72">
            <v>2075.6959564526669</v>
          </cell>
          <cell r="H72">
            <v>2202.0274204073999</v>
          </cell>
          <cell r="I72">
            <v>2336.047697714268</v>
          </cell>
          <cell r="J72">
            <v>2478.2247466230478</v>
          </cell>
          <cell r="K72">
            <v>2629.0550063614642</v>
          </cell>
          <cell r="L72">
            <v>2854.687083281015</v>
          </cell>
          <cell r="M72">
            <v>3082.8586256207691</v>
          </cell>
          <cell r="N72">
            <v>3322.4744916554978</v>
          </cell>
          <cell r="O72">
            <v>3573.688133280124</v>
          </cell>
          <cell r="P72">
            <v>3842.118564279484</v>
          </cell>
          <cell r="Q72">
            <v>4126.3702622461033</v>
          </cell>
          <cell r="R72">
            <v>4430.1888591719762</v>
          </cell>
          <cell r="S72">
            <v>4754.3038893009016</v>
          </cell>
          <cell r="T72">
            <v>5099.905851997386</v>
          </cell>
          <cell r="U72">
            <v>5468.2431889502304</v>
          </cell>
          <cell r="V72">
            <v>5860.6237510936216</v>
          </cell>
          <cell r="W72">
            <v>6278.4166961888604</v>
          </cell>
          <cell r="X72">
            <v>6723.054381744917</v>
          </cell>
          <cell r="Y72">
            <v>7196.0342476203814</v>
          </cell>
          <cell r="Z72">
            <v>7698.9206822691258</v>
          </cell>
          <cell r="AA72">
            <v>8233.3468662069008</v>
          </cell>
          <cell r="AB72">
            <v>8801.0165858866403</v>
          </cell>
          <cell r="AC72">
            <v>9403.7060107785783</v>
          </cell>
          <cell r="AD72">
            <v>10043.265426058169</v>
          </cell>
          <cell r="AE72">
            <v>10721.620912912271</v>
          </cell>
          <cell r="AF72">
            <v>11440.775968083701</v>
          </cell>
          <cell r="AG72">
            <v>12202.813053887559</v>
          </cell>
          <cell r="AH72">
            <v>13009.895069552251</v>
          </cell>
          <cell r="AI72">
            <v>13864.26673436501</v>
          </cell>
          <cell r="AJ72">
            <v>14768.255872739001</v>
          </cell>
          <cell r="AK72">
            <v>15724.27459096812</v>
          </cell>
          <cell r="AL72">
            <v>16734.82033509947</v>
          </cell>
          <cell r="AM72">
            <v>17802.476819033858</v>
          </cell>
          <cell r="AN72">
            <v>18929.91481166469</v>
          </cell>
          <cell r="AO72">
            <v>20122.59030839066</v>
          </cell>
          <cell r="AP72">
            <v>21390.410086252741</v>
          </cell>
        </row>
        <row r="73">
          <cell r="C73" t="str">
            <v>Новая Тверь - Выползово Тариф Бизнес</v>
          </cell>
          <cell r="D73">
            <v>3632.639020353969</v>
          </cell>
          <cell r="E73">
            <v>3937.55769589683</v>
          </cell>
          <cell r="F73">
            <v>4177.2061986471963</v>
          </cell>
          <cell r="G73">
            <v>4431.4402412946274</v>
          </cell>
          <cell r="H73">
            <v>4701.1475321771541</v>
          </cell>
          <cell r="I73">
            <v>4987.2698075329781</v>
          </cell>
          <cell r="J73">
            <v>5290.8061197584084</v>
          </cell>
          <cell r="K73">
            <v>5612.8163257964907</v>
          </cell>
          <cell r="L73">
            <v>6094.5222626799232</v>
          </cell>
          <cell r="M73">
            <v>6581.6497494871128</v>
          </cell>
          <cell r="N73">
            <v>7093.2099266402474</v>
          </cell>
          <cell r="O73">
            <v>7629.5304013209598</v>
          </cell>
          <cell r="P73">
            <v>8202.6073060674134</v>
          </cell>
          <cell r="Q73">
            <v>8809.4613152539587</v>
          </cell>
          <cell r="R73">
            <v>9458.0890452861931</v>
          </cell>
          <cell r="S73">
            <v>10150.047991805681</v>
          </cell>
          <cell r="T73">
            <v>10887.87977309457</v>
          </cell>
          <cell r="U73">
            <v>11674.24970953441</v>
          </cell>
          <cell r="V73">
            <v>12511.94995536215</v>
          </cell>
          <cell r="W73">
            <v>13403.90354985104</v>
          </cell>
          <cell r="X73">
            <v>14353.168458540549</v>
          </cell>
          <cell r="Y73">
            <v>15362.94159243664</v>
          </cell>
          <cell r="Z73">
            <v>16436.562792292971</v>
          </cell>
          <cell r="AA73">
            <v>17577.518764260421</v>
          </cell>
          <cell r="AB73">
            <v>18789.44695236189</v>
          </cell>
          <cell r="AC73">
            <v>20076.139332412178</v>
          </cell>
          <cell r="AD73">
            <v>21441.546111164302</v>
          </cell>
          <cell r="AE73">
            <v>22889.77931362504</v>
          </cell>
          <cell r="AF73">
            <v>24425.116240649491</v>
          </cell>
          <cell r="AG73">
            <v>26052.002778098478</v>
          </cell>
          <cell r="AH73">
            <v>27775.0565380306</v>
          </cell>
          <cell r="AI73">
            <v>29599.069811604419</v>
          </cell>
          <cell r="AJ73">
            <v>31529.012312590879</v>
          </cell>
          <cell r="AK73">
            <v>33570.033689648233</v>
          </cell>
          <cell r="AL73">
            <v>35727.465784792752</v>
          </cell>
          <cell r="AM73">
            <v>38006.824614816993</v>
          </cell>
          <cell r="AN73">
            <v>40413.81205176661</v>
          </cell>
          <cell r="AO73">
            <v>42960.076197325747</v>
          </cell>
          <cell r="AP73">
            <v>45666.767206123048</v>
          </cell>
        </row>
        <row r="74">
          <cell r="C74" t="str">
            <v>Новая Тверь - Выползово Тариф Первый</v>
          </cell>
          <cell r="D74">
            <v>5627.1954307902261</v>
          </cell>
          <cell r="E74">
            <v>6124.3018751462341</v>
          </cell>
          <cell r="F74">
            <v>6497.0404832177956</v>
          </cell>
          <cell r="G74">
            <v>6892.4647904563062</v>
          </cell>
          <cell r="H74">
            <v>7311.9554988753134</v>
          </cell>
          <cell r="I74">
            <v>7756.9773430780733</v>
          </cell>
          <cell r="J74">
            <v>8229.0842046675079</v>
          </cell>
          <cell r="K74">
            <v>8729.9245379305084</v>
          </cell>
          <cell r="L74">
            <v>9479.1484986609048</v>
          </cell>
          <cell r="M74">
            <v>10236.804896685841</v>
          </cell>
          <cell r="N74">
            <v>11032.46281312825</v>
          </cell>
          <cell r="O74">
            <v>11866.631793607999</v>
          </cell>
          <cell r="P74">
            <v>12757.970088409111</v>
          </cell>
          <cell r="Q74">
            <v>13701.843787142219</v>
          </cell>
          <cell r="R74">
            <v>14710.69047082326</v>
          </cell>
          <cell r="S74">
            <v>15786.9325988077</v>
          </cell>
          <cell r="T74">
            <v>16934.523290976798</v>
          </cell>
          <cell r="U74">
            <v>18157.608067947989</v>
          </cell>
          <cell r="V74">
            <v>19460.529722068612</v>
          </cell>
          <cell r="W74">
            <v>20847.834618442339</v>
          </cell>
          <cell r="X74">
            <v>22324.278980478171</v>
          </cell>
          <cell r="Y74">
            <v>23894.83514117555</v>
          </cell>
          <cell r="Z74">
            <v>25564.697740097861</v>
          </cell>
          <cell r="AA74">
            <v>27339.28984470652</v>
          </cell>
          <cell r="AB74">
            <v>29224.26897343569</v>
          </cell>
          <cell r="AC74">
            <v>31225.532996586349</v>
          </cell>
          <cell r="AD74">
            <v>33349.225889813773</v>
          </cell>
          <cell r="AE74">
            <v>35601.743313678271</v>
          </cell>
          <cell r="AF74">
            <v>37989.737991433831</v>
          </cell>
          <cell r="AG74">
            <v>40520.124855944181</v>
          </cell>
          <cell r="AH74">
            <v>43200.085935352959</v>
          </cell>
          <cell r="AI74">
            <v>46037.07494589634</v>
          </cell>
          <cell r="AJ74">
            <v>49038.82155903992</v>
          </cell>
          <cell r="AK74">
            <v>52213.335308959453</v>
          </cell>
          <cell r="AL74">
            <v>55568.909105265411</v>
          </cell>
          <cell r="AM74">
            <v>59114.122314812827</v>
          </cell>
          <cell r="AN74">
            <v>62857.84337544009</v>
          </cell>
          <cell r="AO74">
            <v>66818.189225741051</v>
          </cell>
          <cell r="AP74">
            <v>71028.055874271042</v>
          </cell>
        </row>
        <row r="75">
          <cell r="C75" t="str">
            <v>Великий Новгород - ЛоговежьВеликий Новгород - Логовежь</v>
          </cell>
        </row>
        <row r="76">
          <cell r="C76" t="str">
            <v>Великий Новгород - ЛоговежьТариф Эконом</v>
          </cell>
          <cell r="D76">
            <v>2020.942313498221</v>
          </cell>
          <cell r="E76">
            <v>2194.0722759412438</v>
          </cell>
          <cell r="F76">
            <v>2327.60838549548</v>
          </cell>
          <cell r="G76">
            <v>2469.2717991273521</v>
          </cell>
          <cell r="H76">
            <v>2619.5571626056371</v>
          </cell>
          <cell r="I76">
            <v>2778.9892269387169</v>
          </cell>
          <cell r="J76">
            <v>2948.1246806462918</v>
          </cell>
          <cell r="K76">
            <v>3127.5540935472159</v>
          </cell>
          <cell r="L76">
            <v>3395.9686090662099</v>
          </cell>
          <cell r="M76">
            <v>3667.404101875964</v>
          </cell>
          <cell r="N76">
            <v>3952.453893866792</v>
          </cell>
          <cell r="O76">
            <v>4251.30053317898</v>
          </cell>
          <cell r="P76">
            <v>4570.6284632805928</v>
          </cell>
          <cell r="Q76">
            <v>4908.7775546545336</v>
          </cell>
          <cell r="R76">
            <v>5270.2036542272253</v>
          </cell>
          <cell r="S76">
            <v>5655.7746243313532</v>
          </cell>
          <cell r="T76">
            <v>6066.9066967124709</v>
          </cell>
          <cell r="U76">
            <v>6505.0850319719812</v>
          </cell>
          <cell r="V76">
            <v>6971.8654646333434</v>
          </cell>
          <cell r="W76">
            <v>7468.8767605271278</v>
          </cell>
          <cell r="X76">
            <v>7997.8228686311159</v>
          </cell>
          <cell r="Y76">
            <v>8560.4851606352258</v>
          </cell>
          <cell r="Z76">
            <v>9158.7246510488367</v>
          </cell>
          <cell r="AA76">
            <v>9794.4841902098833</v>
          </cell>
          <cell r="AB76">
            <v>10469.79062209177</v>
          </cell>
          <cell r="AC76">
            <v>11186.756898338341</v>
          </cell>
          <cell r="AD76">
            <v>11947.58413948938</v>
          </cell>
          <cell r="AE76">
            <v>12754.5636338922</v>
          </cell>
          <cell r="AF76">
            <v>13610.078764330419</v>
          </cell>
          <cell r="AG76">
            <v>14516.6068519413</v>
          </cell>
          <cell r="AH76">
            <v>15476.720906539889</v>
          </cell>
          <cell r="AI76">
            <v>16493.09127202494</v>
          </cell>
          <cell r="AJ76">
            <v>17568.487155109429</v>
          </cell>
          <cell r="AK76">
            <v>18705.778025201678</v>
          </cell>
          <cell r="AL76">
            <v>19907.934872862621</v>
          </cell>
          <cell r="AM76">
            <v>21178.0313138848</v>
          </cell>
          <cell r="AN76">
            <v>22519.244525681861</v>
          </cell>
          <cell r="AO76">
            <v>23938.065023173542</v>
          </cell>
          <cell r="AP76">
            <v>25446.278022345599</v>
          </cell>
        </row>
        <row r="77">
          <cell r="C77" t="str">
            <v>Великий Новгород - ЛоговежьТариф Комфорт</v>
          </cell>
          <cell r="D77">
            <v>2776.939702588294</v>
          </cell>
          <cell r="E77">
            <v>3014.069398451179</v>
          </cell>
          <cell r="F77">
            <v>3197.5123532749822</v>
          </cell>
          <cell r="G77">
            <v>3392.120053572723</v>
          </cell>
          <cell r="H77">
            <v>3598.5720105396781</v>
          </cell>
          <cell r="I77">
            <v>3817.5890919309868</v>
          </cell>
          <cell r="J77">
            <v>4049.9360391136911</v>
          </cell>
          <cell r="K77">
            <v>4296.4241373121577</v>
          </cell>
          <cell r="L77">
            <v>4665.1540037787672</v>
          </cell>
          <cell r="M77">
            <v>5038.0338863161032</v>
          </cell>
          <cell r="N77">
            <v>5429.6161803432469</v>
          </cell>
          <cell r="O77">
            <v>5840.1516582569911</v>
          </cell>
          <cell r="P77">
            <v>6278.8229603576192</v>
          </cell>
          <cell r="Q77">
            <v>6743.3495120123698</v>
          </cell>
          <cell r="R77">
            <v>7239.8524570014042</v>
          </cell>
          <cell r="S77">
            <v>7769.52400641444</v>
          </cell>
          <cell r="T77">
            <v>8334.3096844770007</v>
          </cell>
          <cell r="U77">
            <v>8936.2497052556682</v>
          </cell>
          <cell r="V77">
            <v>9577.4813699130482</v>
          </cell>
          <cell r="W77">
            <v>10260.242167752031</v>
          </cell>
          <cell r="X77">
            <v>10986.872869642721</v>
          </cell>
          <cell r="Y77">
            <v>11759.82060458661</v>
          </cell>
          <cell r="Z77">
            <v>12581.641909551219</v>
          </cell>
          <cell r="AA77">
            <v>13455.005742078891</v>
          </cell>
          <cell r="AB77">
            <v>14382.696444537291</v>
          </cell>
          <cell r="AC77">
            <v>15367.616648238991</v>
          </cell>
          <cell r="AD77">
            <v>16412.79010501477</v>
          </cell>
          <cell r="AE77">
            <v>17521.364433184372</v>
          </cell>
          <cell r="AF77">
            <v>18696.613764230049</v>
          </cell>
          <cell r="AG77">
            <v>19941.941275846439</v>
          </cell>
          <cell r="AH77">
            <v>21260.881596418629</v>
          </cell>
          <cell r="AI77">
            <v>22657.103065370451</v>
          </cell>
          <cell r="AJ77">
            <v>24134.40983323197</v>
          </cell>
          <cell r="AK77">
            <v>25696.743784702401</v>
          </cell>
          <cell r="AL77">
            <v>27348.18626743419</v>
          </cell>
          <cell r="AM77">
            <v>29092.959608742851</v>
          </cell>
          <cell r="AN77">
            <v>30935.428401956018</v>
          </cell>
          <cell r="AO77">
            <v>32884.508881335569</v>
          </cell>
          <cell r="AP77">
            <v>34956.390786502328</v>
          </cell>
        </row>
        <row r="78">
          <cell r="C78" t="str">
            <v>Великий Новгород - ЛоговежьТариф Бизнес</v>
          </cell>
          <cell r="D78">
            <v>5935.9814770641651</v>
          </cell>
          <cell r="E78">
            <v>6434.2395202916459</v>
          </cell>
          <cell r="F78">
            <v>6825.8416215083307</v>
          </cell>
          <cell r="G78">
            <v>7241.2774959617291</v>
          </cell>
          <cell r="H78">
            <v>7681.9977200020021</v>
          </cell>
          <cell r="I78">
            <v>8149.5411552762644</v>
          </cell>
          <cell r="J78">
            <v>8645.5403219677428</v>
          </cell>
          <cell r="K78">
            <v>9171.7270990622146</v>
          </cell>
          <cell r="L78">
            <v>9958.8676607063699</v>
          </cell>
          <cell r="M78">
            <v>10754.867407021529</v>
          </cell>
          <cell r="N78">
            <v>11590.791846243341</v>
          </cell>
          <cell r="O78">
            <v>12467.176310991161</v>
          </cell>
          <cell r="P78">
            <v>13403.623305159261</v>
          </cell>
          <cell r="Q78">
            <v>14395.264406196169</v>
          </cell>
          <cell r="R78">
            <v>15455.166634137981</v>
          </cell>
          <cell r="S78">
            <v>16585.875043758118</v>
          </cell>
          <cell r="T78">
            <v>17791.542813767741</v>
          </cell>
          <cell r="U78">
            <v>19076.52526059841</v>
          </cell>
          <cell r="V78">
            <v>20445.384955906378</v>
          </cell>
          <cell r="W78">
            <v>21902.8983464802</v>
          </cell>
          <cell r="X78">
            <v>23454.06235788776</v>
          </cell>
          <cell r="Y78">
            <v>25104.10096212546</v>
          </cell>
          <cell r="Z78">
            <v>26858.471688206999</v>
          </cell>
          <cell r="AA78">
            <v>28722.872053285009</v>
          </cell>
          <cell r="AB78">
            <v>30703.24589054046</v>
          </cell>
          <cell r="AC78">
            <v>32805.78954870825</v>
          </cell>
          <cell r="AD78">
            <v>35036.957936736158</v>
          </cell>
          <cell r="AE78">
            <v>37403.470385704633</v>
          </cell>
          <cell r="AF78">
            <v>39912.316298773549</v>
          </cell>
          <cell r="AG78">
            <v>42570.760558572663</v>
          </cell>
          <cell r="AH78">
            <v>45386.348660124837</v>
          </cell>
          <cell r="AI78">
            <v>48366.911536091073</v>
          </cell>
          <cell r="AJ78">
            <v>51520.570039857899</v>
          </cell>
          <cell r="AK78">
            <v>54855.739050767203</v>
          </cell>
          <cell r="AL78">
            <v>58381.131164612219</v>
          </cell>
          <cell r="AM78">
            <v>62105.759931411107</v>
          </cell>
          <cell r="AN78">
            <v>66038.94260142131</v>
          </cell>
          <cell r="AO78">
            <v>70199.712972235357</v>
          </cell>
          <cell r="AP78">
            <v>74622.631848108489</v>
          </cell>
        </row>
        <row r="79">
          <cell r="C79" t="str">
            <v>Великий Новгород - ЛоговежьТариф Первый</v>
          </cell>
          <cell r="D79">
            <v>9252.5981899898652</v>
          </cell>
          <cell r="E79">
            <v>10069.97271409357</v>
          </cell>
          <cell r="F79">
            <v>10682.853608812729</v>
          </cell>
          <cell r="G79">
            <v>11333.035795380079</v>
          </cell>
          <cell r="H79">
            <v>12022.789513226389</v>
          </cell>
          <cell r="I79">
            <v>12754.52317359406</v>
          </cell>
          <cell r="J79">
            <v>13530.791768980451</v>
          </cell>
          <cell r="K79">
            <v>14354.305794398329</v>
          </cell>
          <cell r="L79">
            <v>15586.228223290689</v>
          </cell>
          <cell r="M79">
            <v>16832.015810237051</v>
          </cell>
          <cell r="N79">
            <v>18140.287948297901</v>
          </cell>
          <cell r="O79">
            <v>19511.882465293151</v>
          </cell>
          <cell r="P79">
            <v>20977.478461483261</v>
          </cell>
          <cell r="Q79">
            <v>22529.4565621</v>
          </cell>
          <cell r="R79">
            <v>24188.26744119783</v>
          </cell>
          <cell r="S79">
            <v>25957.894262916601</v>
          </cell>
          <cell r="T79">
            <v>27844.837002298569</v>
          </cell>
          <cell r="U79">
            <v>29855.911992103669</v>
          </cell>
          <cell r="V79">
            <v>31998.25993201201</v>
          </cell>
          <cell r="W79">
            <v>34279.356249178512</v>
          </cell>
          <cell r="X79">
            <v>36707.021433338457</v>
          </cell>
          <cell r="Y79">
            <v>39289.431315574468</v>
          </cell>
          <cell r="Z79">
            <v>42035.127257780383</v>
          </cell>
          <cell r="AA79">
            <v>44953.026217754232</v>
          </cell>
          <cell r="AB79">
            <v>48052.430652726733</v>
          </cell>
          <cell r="AC79">
            <v>51343.038221992407</v>
          </cell>
          <cell r="AD79">
            <v>54834.951247165402</v>
          </cell>
          <cell r="AE79">
            <v>58538.685886437132</v>
          </cell>
          <cell r="AF79">
            <v>62465.180977083677</v>
          </cell>
          <cell r="AG79">
            <v>66625.80649835775</v>
          </cell>
          <cell r="AH79">
            <v>71032.371604822998</v>
          </cell>
          <cell r="AI79">
            <v>75697.132178153333</v>
          </cell>
          <cell r="AJ79">
            <v>80632.797843434877</v>
          </cell>
          <cell r="AK79">
            <v>85852.538394098243</v>
          </cell>
          <cell r="AL79">
            <v>91369.989567767174</v>
          </cell>
          <cell r="AM79">
            <v>97199.258113569231</v>
          </cell>
          <cell r="AN79">
            <v>103354.92608981409</v>
          </cell>
          <cell r="AO79">
            <v>109866.7825371177</v>
          </cell>
          <cell r="AP79">
            <v>116788.9171975123</v>
          </cell>
        </row>
        <row r="80">
          <cell r="C80" t="str">
            <v>Санкт-Петербург - ВысоковоСанкт-Петербург - Высоково</v>
          </cell>
        </row>
        <row r="81">
          <cell r="C81" t="str">
            <v>Санкт-Петербург - ВысоковоТариф Эконом</v>
          </cell>
          <cell r="D81">
            <v>3181.8863799014812</v>
          </cell>
          <cell r="E81">
            <v>3454.4720275822142</v>
          </cell>
          <cell r="F81">
            <v>3664.7188641087678</v>
          </cell>
          <cell r="G81">
            <v>3887.7617898543072</v>
          </cell>
          <cell r="H81">
            <v>4124.3796032160144</v>
          </cell>
          <cell r="I81">
            <v>4375.3985019904603</v>
          </cell>
          <cell r="J81">
            <v>4641.694968206275</v>
          </cell>
          <cell r="K81">
            <v>4924.1988285341386</v>
          </cell>
          <cell r="L81">
            <v>5346.8058893063826</v>
          </cell>
          <cell r="M81">
            <v>5774.1693483346553</v>
          </cell>
          <cell r="N81">
            <v>6222.9679333666891</v>
          </cell>
          <cell r="O81">
            <v>6693.489058564368</v>
          </cell>
          <cell r="P81">
            <v>7196.2570914399121</v>
          </cell>
          <cell r="Q81">
            <v>7728.6582297763907</v>
          </cell>
          <cell r="R81">
            <v>8297.7080120933333</v>
          </cell>
          <cell r="S81">
            <v>8904.772850147061</v>
          </cell>
          <cell r="T81">
            <v>9552.0825396481523</v>
          </cell>
          <cell r="U81">
            <v>10241.975401813401</v>
          </cell>
          <cell r="V81">
            <v>10976.901030897179</v>
          </cell>
          <cell r="W81">
            <v>11759.42384834672</v>
          </cell>
          <cell r="X81">
            <v>12592.226648227061</v>
          </cell>
          <cell r="Y81">
            <v>13478.11412331931</v>
          </cell>
          <cell r="Z81">
            <v>14420.01636058371</v>
          </cell>
          <cell r="AA81">
            <v>15420.99229395775</v>
          </cell>
          <cell r="AB81">
            <v>16484.23310172994</v>
          </cell>
          <cell r="AC81">
            <v>17613.06553499656</v>
          </cell>
          <cell r="AD81">
            <v>18810.955162972139</v>
          </cell>
          <cell r="AE81">
            <v>20081.509520189509</v>
          </cell>
          <cell r="AF81">
            <v>21428.481139893491</v>
          </cell>
          <cell r="AG81">
            <v>22855.770457209139</v>
          </cell>
          <cell r="AH81">
            <v>24367.42856495153</v>
          </cell>
          <cell r="AI81">
            <v>25967.659804246239</v>
          </cell>
          <cell r="AJ81">
            <v>27660.824171449571</v>
          </cell>
          <cell r="AK81">
            <v>29451.439522200912</v>
          </cell>
          <cell r="AL81">
            <v>31344.183552809289</v>
          </cell>
          <cell r="AM81">
            <v>33343.895538578152</v>
          </cell>
          <cell r="AN81">
            <v>35455.577808110051</v>
          </cell>
          <cell r="AO81">
            <v>37689.449396794473</v>
          </cell>
          <cell r="AP81">
            <v>40064.065618149652</v>
          </cell>
        </row>
        <row r="82">
          <cell r="C82" t="str">
            <v>Санкт-Петербург - ВысоковоТариф Комфорт</v>
          </cell>
          <cell r="D82">
            <v>4374.6206815745791</v>
          </cell>
          <cell r="E82">
            <v>4748.1802769703254</v>
          </cell>
          <cell r="F82">
            <v>5037.1650695869548</v>
          </cell>
          <cell r="G82">
            <v>5343.7381182284726</v>
          </cell>
          <cell r="H82">
            <v>5668.9698832024806</v>
          </cell>
          <cell r="I82">
            <v>6013.9959754073261</v>
          </cell>
          <cell r="J82">
            <v>6380.0211215416812</v>
          </cell>
          <cell r="K82">
            <v>6768.3233706455994</v>
          </cell>
          <cell r="L82">
            <v>7349.1978124837087</v>
          </cell>
          <cell r="M82">
            <v>7936.6099353938798</v>
          </cell>
          <cell r="N82">
            <v>8553.4846915842681</v>
          </cell>
          <cell r="O82">
            <v>9200.2171325255094</v>
          </cell>
          <cell r="P82">
            <v>9891.2730271832152</v>
          </cell>
          <cell r="Q82">
            <v>10623.059697997611</v>
          </cell>
          <cell r="R82">
            <v>11405.220019875411</v>
          </cell>
          <cell r="S82">
            <v>12239.632129127989</v>
          </cell>
          <cell r="T82">
            <v>13129.360885430009</v>
          </cell>
          <cell r="U82">
            <v>14077.620317030711</v>
          </cell>
          <cell r="V82">
            <v>15087.77739724246</v>
          </cell>
          <cell r="W82">
            <v>16163.35692963592</v>
          </cell>
          <cell r="X82">
            <v>17308.046421235351</v>
          </cell>
          <cell r="Y82">
            <v>18525.70092914928</v>
          </cell>
          <cell r="Z82">
            <v>19820.347865093139</v>
          </cell>
          <cell r="AA82">
            <v>21196.191741268649</v>
          </cell>
          <cell r="AB82">
            <v>22657.618840062471</v>
          </cell>
          <cell r="AC82">
            <v>24209.201789018171</v>
          </cell>
          <cell r="AD82">
            <v>25855.70402152343</v>
          </cell>
          <cell r="AE82">
            <v>27602.084102644108</v>
          </cell>
          <cell r="AF82">
            <v>29453.499898531609</v>
          </cell>
          <cell r="AG82">
            <v>31415.312566834469</v>
          </cell>
          <cell r="AH82">
            <v>33493.09034456576</v>
          </cell>
          <cell r="AI82">
            <v>35692.612108917383</v>
          </cell>
          <cell r="AJ82">
            <v>38019.870685577684</v>
          </cell>
          <cell r="AK82">
            <v>40481.075878206953</v>
          </cell>
          <cell r="AL82">
            <v>43082.657191857979</v>
          </cell>
          <cell r="AM82">
            <v>45831.266222307808</v>
          </cell>
          <cell r="AN82">
            <v>48733.778682493219</v>
          </cell>
          <cell r="AO82">
            <v>51804.240661627948</v>
          </cell>
          <cell r="AP82">
            <v>55068.156483665683</v>
          </cell>
        </row>
        <row r="83">
          <cell r="C83" t="str">
            <v>Санкт-Петербург - ВысоковоТариф Бизнес</v>
          </cell>
          <cell r="D83">
            <v>9349.0496991518485</v>
          </cell>
          <cell r="E83">
            <v>10133.795949984111</v>
          </cell>
          <cell r="F83">
            <v>10750.561268527161</v>
          </cell>
          <cell r="G83">
            <v>11404.86429357574</v>
          </cell>
          <cell r="H83">
            <v>12098.989653281489</v>
          </cell>
          <cell r="I83">
            <v>12835.361023337229</v>
          </cell>
          <cell r="J83">
            <v>13616.54958971901</v>
          </cell>
          <cell r="K83">
            <v>14445.2830264894</v>
          </cell>
          <cell r="L83">
            <v>15685.013349008719</v>
          </cell>
          <cell r="M83">
            <v>16938.69670660796</v>
          </cell>
          <cell r="N83">
            <v>18255.260640848119</v>
          </cell>
          <cell r="O83">
            <v>19635.54828968093</v>
          </cell>
          <cell r="P83">
            <v>21110.433196739119</v>
          </cell>
          <cell r="Q83">
            <v>22672.247695847189</v>
          </cell>
          <cell r="R83">
            <v>24341.572076921679</v>
          </cell>
          <cell r="S83">
            <v>26122.414749297379</v>
          </cell>
          <cell r="T83">
            <v>28021.316884696291</v>
          </cell>
          <cell r="U83">
            <v>30045.138017625319</v>
          </cell>
          <cell r="V83">
            <v>32201.064105341051</v>
          </cell>
          <cell r="W83">
            <v>34496.617954069246</v>
          </cell>
          <cell r="X83">
            <v>36939.66961961412</v>
          </cell>
          <cell r="Y83">
            <v>39538.446751271702</v>
          </cell>
          <cell r="Z83">
            <v>42301.544845874487</v>
          </cell>
          <cell r="AA83">
            <v>45237.937376676637</v>
          </cell>
          <cell r="AB83">
            <v>48356.985759650757</v>
          </cell>
          <cell r="AC83">
            <v>51668.449117614116</v>
          </cell>
          <cell r="AD83">
            <v>55182.493800443233</v>
          </cell>
          <cell r="AE83">
            <v>58909.702617477858</v>
          </cell>
          <cell r="AF83">
            <v>62861.083736071902</v>
          </cell>
          <cell r="AG83">
            <v>67048.079198122956</v>
          </cell>
          <cell r="AH83">
            <v>71482.573004321777</v>
          </cell>
          <cell r="AI83">
            <v>76176.89871381456</v>
          </cell>
          <cell r="AJ83">
            <v>81143.846504974295</v>
          </cell>
          <cell r="AK83">
            <v>86396.669641053828</v>
          </cell>
          <cell r="AL83">
            <v>91949.090282641817</v>
          </cell>
          <cell r="AM83">
            <v>97815.304587090039</v>
          </cell>
          <cell r="AN83">
            <v>104009.9870334299</v>
          </cell>
          <cell r="AO83">
            <v>110563.1154644738</v>
          </cell>
          <cell r="AP83">
            <v>117529.12244168991</v>
          </cell>
        </row>
        <row r="84">
          <cell r="C84" t="str">
            <v>Санкт-Петербург - ВысоковоТариф Первый</v>
          </cell>
          <cell r="D84">
            <v>14813.34464197719</v>
          </cell>
          <cell r="E84">
            <v>16121.95550764946</v>
          </cell>
          <cell r="F84">
            <v>17103.173510586232</v>
          </cell>
          <cell r="G84">
            <v>18144.110619485709</v>
          </cell>
          <cell r="H84">
            <v>19248.40147171319</v>
          </cell>
          <cell r="I84">
            <v>20419.901916732921</v>
          </cell>
          <cell r="J84">
            <v>21662.70247956755</v>
          </cell>
          <cell r="K84">
            <v>22981.142643673531</v>
          </cell>
          <cell r="L84">
            <v>24953.4417899941</v>
          </cell>
          <cell r="M84">
            <v>26947.938956865419</v>
          </cell>
          <cell r="N84">
            <v>29042.47345070721</v>
          </cell>
          <cell r="O84">
            <v>31238.386627967859</v>
          </cell>
          <cell r="P84">
            <v>33584.795512442477</v>
          </cell>
          <cell r="Q84">
            <v>36069.501538703211</v>
          </cell>
          <cell r="R84">
            <v>38725.246092111112</v>
          </cell>
          <cell r="S84">
            <v>41558.4061904462</v>
          </cell>
          <cell r="T84">
            <v>44579.38824804622</v>
          </cell>
          <cell r="U84">
            <v>47799.105165730332</v>
          </cell>
          <cell r="V84">
            <v>51228.989153476126</v>
          </cell>
          <cell r="W84">
            <v>54881.008317594737</v>
          </cell>
          <cell r="X84">
            <v>58767.683207162168</v>
          </cell>
          <cell r="Y84">
            <v>62902.103270252752</v>
          </cell>
          <cell r="Z84">
            <v>67297.943167199453</v>
          </cell>
          <cell r="AA84">
            <v>71969.478884736847</v>
          </cell>
          <cell r="AB84">
            <v>76931.603591480496</v>
          </cell>
          <cell r="AC84">
            <v>82199.843171771266</v>
          </cell>
          <cell r="AD84">
            <v>87790.371371478308</v>
          </cell>
          <cell r="AE84">
            <v>93720.024485921109</v>
          </cell>
          <cell r="AF84">
            <v>100006.31551666161</v>
          </cell>
          <cell r="AG84">
            <v>106667.4477205346</v>
          </cell>
          <cell r="AH84">
            <v>113722.3274709598</v>
          </cell>
          <cell r="AI84">
            <v>121190.5763483193</v>
          </cell>
          <cell r="AJ84">
            <v>129092.54237300721</v>
          </cell>
          <cell r="AK84">
            <v>137449.3102917019</v>
          </cell>
          <cell r="AL84">
            <v>146282.7108244586</v>
          </cell>
          <cell r="AM84">
            <v>155615.32877743791</v>
          </cell>
          <cell r="AN84">
            <v>165470.509923459</v>
          </cell>
          <cell r="AO84">
            <v>175895.94630708461</v>
          </cell>
          <cell r="AP84">
            <v>186978.23522497329</v>
          </cell>
        </row>
        <row r="85">
          <cell r="C85" t="str">
            <v>Новая Тверь - СадваНовая Тверь - Садва</v>
          </cell>
        </row>
        <row r="86">
          <cell r="C86" t="str">
            <v>Новая Тверь - СадваТариф Эконом</v>
          </cell>
          <cell r="D86">
            <v>780.95232622172989</v>
          </cell>
          <cell r="E86">
            <v>847.8549023148197</v>
          </cell>
          <cell r="F86">
            <v>899.45723390758269</v>
          </cell>
          <cell r="G86">
            <v>954.20019795825772</v>
          </cell>
          <cell r="H86">
            <v>1012.2749403304369</v>
          </cell>
          <cell r="I86">
            <v>1073.884240449315</v>
          </cell>
          <cell r="J86">
            <v>1139.2432193460741</v>
          </cell>
          <cell r="K86">
            <v>1208.5800907954231</v>
          </cell>
          <cell r="L86">
            <v>1312.30345730923</v>
          </cell>
          <cell r="M86">
            <v>1417.1942194616579</v>
          </cell>
          <cell r="N86">
            <v>1527.3459524712571</v>
          </cell>
          <cell r="O86">
            <v>1642.8291983786639</v>
          </cell>
          <cell r="P86">
            <v>1766.227025310573</v>
          </cell>
          <cell r="Q86">
            <v>1896.897909756121</v>
          </cell>
          <cell r="R86">
            <v>2036.563723734728</v>
          </cell>
          <cell r="S86">
            <v>2185.559835110696</v>
          </cell>
          <cell r="T86">
            <v>2344.4335180287499</v>
          </cell>
          <cell r="U86">
            <v>2513.75868279733</v>
          </cell>
          <cell r="V86">
            <v>2694.136550234166</v>
          </cell>
          <cell r="W86">
            <v>2886.196523987132</v>
          </cell>
          <cell r="X86">
            <v>3090.5970607123509</v>
          </cell>
          <cell r="Y86">
            <v>3308.02653550881</v>
          </cell>
          <cell r="Z86">
            <v>3539.2040998339899</v>
          </cell>
          <cell r="AA86">
            <v>3784.8805289479128</v>
          </cell>
          <cell r="AB86">
            <v>4045.839055754037</v>
          </cell>
          <cell r="AC86">
            <v>4322.8961877253532</v>
          </cell>
          <cell r="AD86">
            <v>4616.9025034233318</v>
          </cell>
          <cell r="AE86">
            <v>4928.7434249369362</v>
          </cell>
          <cell r="AF86">
            <v>5259.3399623893647</v>
          </cell>
          <cell r="AG86">
            <v>5609.6494264826733</v>
          </cell>
          <cell r="AH86">
            <v>5980.6661048751639</v>
          </cell>
          <cell r="AI86">
            <v>6373.4218980152618</v>
          </cell>
          <cell r="AJ86">
            <v>6788.986909888542</v>
          </cell>
          <cell r="AK86">
            <v>7228.4699889735011</v>
          </cell>
          <cell r="AL86">
            <v>7693.0192145469418</v>
          </cell>
          <cell r="AM86">
            <v>8183.822323333</v>
          </cell>
          <cell r="AN86">
            <v>8702.1070713519348</v>
          </cell>
          <cell r="AO86">
            <v>9250.3815869610498</v>
          </cell>
          <cell r="AP86">
            <v>9833.2000287712181</v>
          </cell>
        </row>
        <row r="87">
          <cell r="C87" t="str">
            <v>Новая Тверь - СадваТариф Комфорт</v>
          </cell>
          <cell r="D87">
            <v>1072.764028839551</v>
          </cell>
          <cell r="E87">
            <v>1164.369981843955</v>
          </cell>
          <cell r="F87">
            <v>1235.236123840338</v>
          </cell>
          <cell r="G87">
            <v>1310.4153365614559</v>
          </cell>
          <cell r="H87">
            <v>1390.1701230666331</v>
          </cell>
          <cell r="I87">
            <v>1474.7789629341421</v>
          </cell>
          <cell r="J87">
            <v>1564.5372846276121</v>
          </cell>
          <cell r="K87">
            <v>1659.75849704282</v>
          </cell>
          <cell r="L87">
            <v>1802.2031229507941</v>
          </cell>
          <cell r="M87">
            <v>1946.2509482208679</v>
          </cell>
          <cell r="N87">
            <v>2097.5237320595861</v>
          </cell>
          <cell r="O87">
            <v>2256.1183507536221</v>
          </cell>
          <cell r="P87">
            <v>2425.5821648001211</v>
          </cell>
          <cell r="Q87">
            <v>2605.0341617562008</v>
          </cell>
          <cell r="R87">
            <v>2796.8390104897521</v>
          </cell>
          <cell r="S87">
            <v>3001.4572759783409</v>
          </cell>
          <cell r="T87">
            <v>3219.6405368048358</v>
          </cell>
          <cell r="U87">
            <v>3452.1769513364202</v>
          </cell>
          <cell r="V87">
            <v>3699.8921838120059</v>
          </cell>
          <cell r="W87">
            <v>3963.650602311609</v>
          </cell>
          <cell r="X87">
            <v>4244.3564737830766</v>
          </cell>
          <cell r="Y87">
            <v>4542.9551525545176</v>
          </cell>
          <cell r="Z87">
            <v>4860.4342585208033</v>
          </cell>
          <cell r="AA87">
            <v>5197.8248409493153</v>
          </cell>
          <cell r="AB87">
            <v>5556.202523604321</v>
          </cell>
          <cell r="AC87">
            <v>5936.6886266420279</v>
          </cell>
          <cell r="AD87">
            <v>6340.4512604802367</v>
          </cell>
          <cell r="AE87">
            <v>6768.7063865987011</v>
          </cell>
          <cell r="AF87">
            <v>7222.7188399798206</v>
          </cell>
          <cell r="AG87">
            <v>7703.8033076552083</v>
          </cell>
          <cell r="AH87">
            <v>8213.3252575834522</v>
          </cell>
          <cell r="AI87">
            <v>8752.7018118489141</v>
          </cell>
          <cell r="AJ87">
            <v>9323.4025579421468</v>
          </cell>
          <cell r="AK87">
            <v>9926.9502916614183</v>
          </cell>
          <cell r="AL87">
            <v>10564.92168496207</v>
          </cell>
          <cell r="AM87">
            <v>11238.947871879111</v>
          </cell>
          <cell r="AN87">
            <v>11950.714945458791</v>
          </cell>
          <cell r="AO87">
            <v>12703.667350454431</v>
          </cell>
          <cell r="AP87">
            <v>13504.05937113634</v>
          </cell>
        </row>
        <row r="88">
          <cell r="C88" t="str">
            <v>Новая Тверь - СадваТариф Бизнес</v>
          </cell>
          <cell r="D88">
            <v>2293.42422505279</v>
          </cell>
          <cell r="E88">
            <v>2485.931070143296</v>
          </cell>
          <cell r="F88">
            <v>2637.230353839193</v>
          </cell>
          <cell r="G88">
            <v>2797.738047825233</v>
          </cell>
          <cell r="H88">
            <v>2968.0145963943428</v>
          </cell>
          <cell r="I88">
            <v>3148.6545537233078</v>
          </cell>
          <cell r="J88">
            <v>3340.2886598760169</v>
          </cell>
          <cell r="K88">
            <v>3543.5860431568972</v>
          </cell>
          <cell r="L88">
            <v>3847.70546124666</v>
          </cell>
          <cell r="M88">
            <v>4155.2477115701813</v>
          </cell>
          <cell r="N88">
            <v>4478.2152556288174</v>
          </cell>
          <cell r="O88">
            <v>4816.8149243910348</v>
          </cell>
          <cell r="P88">
            <v>5178.6203360489544</v>
          </cell>
          <cell r="Q88">
            <v>5561.750528160147</v>
          </cell>
          <cell r="R88">
            <v>5971.2540711111269</v>
          </cell>
          <cell r="S88">
            <v>6408.1142715874093</v>
          </cell>
          <cell r="T88">
            <v>6873.9357506114657</v>
          </cell>
          <cell r="U88">
            <v>7370.4012270816893</v>
          </cell>
          <cell r="V88">
            <v>7899.2734949699552</v>
          </cell>
          <cell r="W88">
            <v>8462.3979809873999</v>
          </cell>
          <cell r="X88">
            <v>9061.7052959677094</v>
          </cell>
          <cell r="Y88">
            <v>9699.2137723423093</v>
          </cell>
          <cell r="Z88">
            <v>10377.03197956974</v>
          </cell>
          <cell r="AA88">
            <v>11097.361208862059</v>
          </cell>
          <cell r="AB88">
            <v>11862.49791802658</v>
          </cell>
          <cell r="AC88">
            <v>12674.83612671284</v>
          </cell>
          <cell r="AD88">
            <v>13536.869751825499</v>
          </cell>
          <cell r="AE88">
            <v>14451.194872334059</v>
          </cell>
          <cell r="AF88">
            <v>15420.511912184849</v>
          </cell>
          <cell r="AG88">
            <v>16447.627729498901</v>
          </cell>
          <cell r="AH88">
            <v>17535.45759972684</v>
          </cell>
          <cell r="AI88">
            <v>18687.027079929259</v>
          </cell>
          <cell r="AJ88">
            <v>19905.47374086118</v>
          </cell>
          <cell r="AK88">
            <v>21194.048753067549</v>
          </cell>
          <cell r="AL88">
            <v>22556.118312742299</v>
          </cell>
          <cell r="AM88">
            <v>23995.16489267366</v>
          </cell>
          <cell r="AN88">
            <v>25514.78830319356</v>
          </cell>
          <cell r="AO88">
            <v>27122.34243727861</v>
          </cell>
          <cell r="AP88">
            <v>28831.180198070881</v>
          </cell>
        </row>
        <row r="89">
          <cell r="C89" t="str">
            <v>Новая Тверь - СадваТариф Первый</v>
          </cell>
          <cell r="D89">
            <v>3542.5748766638171</v>
          </cell>
          <cell r="E89">
            <v>3855.525941268299</v>
          </cell>
          <cell r="F89">
            <v>4090.1818093214761</v>
          </cell>
          <cell r="G89">
            <v>4339.1193544403995</v>
          </cell>
          <cell r="H89">
            <v>4603.2077911966107</v>
          </cell>
          <cell r="I89">
            <v>4883.3692364901326</v>
          </cell>
          <cell r="J89">
            <v>5180.5819293026279</v>
          </cell>
          <cell r="K89">
            <v>5495.8836464118704</v>
          </cell>
          <cell r="L89">
            <v>5967.5541282570921</v>
          </cell>
          <cell r="M89">
            <v>6444.5332120295216</v>
          </cell>
          <cell r="N89">
            <v>6945.435976092891</v>
          </cell>
          <cell r="O89">
            <v>7470.583202537242</v>
          </cell>
          <cell r="P89">
            <v>8031.7211065974489</v>
          </cell>
          <cell r="Q89">
            <v>8625.9324314040769</v>
          </cell>
          <cell r="R89">
            <v>9261.0471986038665</v>
          </cell>
          <cell r="S89">
            <v>9938.5904562883552</v>
          </cell>
          <cell r="T89">
            <v>10661.05087280895</v>
          </cell>
          <cell r="U89">
            <v>11431.038241511311</v>
          </cell>
          <cell r="V89">
            <v>12251.28654724694</v>
          </cell>
          <cell r="W89">
            <v>13124.657933155269</v>
          </cell>
          <cell r="X89">
            <v>14054.146657701949</v>
          </cell>
          <cell r="Y89">
            <v>15042.8830301465</v>
          </cell>
          <cell r="Z89">
            <v>16094.137311818389</v>
          </cell>
          <cell r="AA89">
            <v>17211.323569774569</v>
          </cell>
          <cell r="AB89">
            <v>18398.003468598319</v>
          </cell>
          <cell r="AC89">
            <v>19657.889985279871</v>
          </cell>
          <cell r="AD89">
            <v>20994.851031297861</v>
          </cell>
          <cell r="AE89">
            <v>22412.912965199681</v>
          </cell>
          <cell r="AF89">
            <v>23916.26397816349</v>
          </cell>
          <cell r="AG89">
            <v>25509.257334215399</v>
          </cell>
          <cell r="AH89">
            <v>27196.414445980601</v>
          </cell>
          <cell r="AI89">
            <v>28982.427766067289</v>
          </cell>
          <cell r="AJ89">
            <v>30872.163473422999</v>
          </cell>
          <cell r="AK89">
            <v>32870.663933270982</v>
          </cell>
          <cell r="AL89">
            <v>34983.149908529813</v>
          </cell>
          <cell r="AM89">
            <v>37215.022499952443</v>
          </cell>
          <cell r="AN89">
            <v>39571.864791593442</v>
          </cell>
          <cell r="AO89">
            <v>42065.082218414849</v>
          </cell>
          <cell r="AP89">
            <v>44715.384310569651</v>
          </cell>
        </row>
        <row r="90">
          <cell r="C90" t="str">
            <v>Санкт-Петербург - ВыползовоСанкт-Петербург - Выползово</v>
          </cell>
        </row>
        <row r="91">
          <cell r="C91" t="str">
            <v>Санкт-Петербург - ВыползовоТариф Эконом</v>
          </cell>
          <cell r="D91">
            <v>2170.7036785983491</v>
          </cell>
          <cell r="E91">
            <v>2356.6633885022579</v>
          </cell>
          <cell r="F91">
            <v>2500.095154119228</v>
          </cell>
          <cell r="G91">
            <v>2652.2564954101672</v>
          </cell>
          <cell r="H91">
            <v>2813.6787137302499</v>
          </cell>
          <cell r="I91">
            <v>2984.9254466146181</v>
          </cell>
          <cell r="J91">
            <v>3166.5946358300748</v>
          </cell>
          <cell r="K91">
            <v>3359.3206152067851</v>
          </cell>
          <cell r="L91">
            <v>3647.62591335145</v>
          </cell>
          <cell r="M91">
            <v>3939.1760574643622</v>
          </cell>
          <cell r="N91">
            <v>4245.349384592696</v>
          </cell>
          <cell r="O91">
            <v>4566.3419705556371</v>
          </cell>
          <cell r="P91">
            <v>4909.3336076355226</v>
          </cell>
          <cell r="Q91">
            <v>5272.541142881556</v>
          </cell>
          <cell r="R91">
            <v>5660.7506225108136</v>
          </cell>
          <cell r="S91">
            <v>6074.8942215514999</v>
          </cell>
          <cell r="T91">
            <v>6516.4931212067031</v>
          </cell>
          <cell r="U91">
            <v>6987.142539488952</v>
          </cell>
          <cell r="V91">
            <v>7488.5136056040656</v>
          </cell>
          <cell r="W91">
            <v>8022.3557846190979</v>
          </cell>
          <cell r="X91">
            <v>8590.4992961744156</v>
          </cell>
          <cell r="Y91">
            <v>9194.857520010959</v>
          </cell>
          <cell r="Z91">
            <v>9837.4293805979996</v>
          </cell>
          <cell r="AA91">
            <v>10520.301702654549</v>
          </cell>
          <cell r="AB91">
            <v>11245.65152885998</v>
          </cell>
          <cell r="AC91">
            <v>12015.748390548941</v>
          </cell>
          <cell r="AD91">
            <v>12832.956521683371</v>
          </cell>
          <cell r="AE91">
            <v>13699.73700589297</v>
          </cell>
          <cell r="AF91">
            <v>14618.649845876131</v>
          </cell>
          <cell r="AG91">
            <v>15592.35594396035</v>
          </cell>
          <cell r="AH91">
            <v>16623.618982133641</v>
          </cell>
          <cell r="AI91">
            <v>17715.307189382751</v>
          </cell>
          <cell r="AJ91">
            <v>18870.394983709881</v>
          </cell>
          <cell r="AK91">
            <v>20091.96447575156</v>
          </cell>
          <cell r="AL91">
            <v>21383.206820493579</v>
          </cell>
          <cell r="AM91">
            <v>22747.423403167431</v>
          </cell>
          <cell r="AN91">
            <v>24188.026845030661</v>
          </cell>
          <cell r="AO91">
            <v>25711.988638796451</v>
          </cell>
          <cell r="AP91">
            <v>27331.96734058611</v>
          </cell>
        </row>
        <row r="92">
          <cell r="C92" t="str">
            <v>Санкт-Петербург - ВыползовоТариф Комфорт</v>
          </cell>
          <cell r="D92">
            <v>2982.8723016460231</v>
          </cell>
          <cell r="E92">
            <v>3237.587087504668</v>
          </cell>
          <cell r="F92">
            <v>3434.633825093536</v>
          </cell>
          <cell r="G92">
            <v>3643.6732645758211</v>
          </cell>
          <cell r="H92">
            <v>3865.4353084125528</v>
          </cell>
          <cell r="I92">
            <v>4100.6942825489268</v>
          </cell>
          <cell r="J92">
            <v>4350.2716401261623</v>
          </cell>
          <cell r="K92">
            <v>4615.0388297472819</v>
          </cell>
          <cell r="L92">
            <v>5011.1130060960631</v>
          </cell>
          <cell r="M92">
            <v>5411.6449558625436</v>
          </cell>
          <cell r="N92">
            <v>5832.2662526014983</v>
          </cell>
          <cell r="O92">
            <v>6273.2462655166282</v>
          </cell>
          <cell r="P92">
            <v>6744.4486021548146</v>
          </cell>
          <cell r="Q92">
            <v>7243.4235647795358</v>
          </cell>
          <cell r="R92">
            <v>7776.7462296228068</v>
          </cell>
          <cell r="S92">
            <v>8345.697219895108</v>
          </cell>
          <cell r="T92">
            <v>8952.3663362208754</v>
          </cell>
          <cell r="U92">
            <v>9598.9450910852265</v>
          </cell>
          <cell r="V92">
            <v>10287.729283864821</v>
          </cell>
          <cell r="W92">
            <v>11021.122331839681</v>
          </cell>
          <cell r="X92">
            <v>11801.63859302285</v>
          </cell>
          <cell r="Y92">
            <v>12631.90667087676</v>
          </cell>
          <cell r="Z92">
            <v>13514.67269031776</v>
          </cell>
          <cell r="AA92">
            <v>14452.80353373435</v>
          </cell>
          <cell r="AB92">
            <v>15449.29002506094</v>
          </cell>
          <cell r="AC92">
            <v>16507.25004926134</v>
          </cell>
          <cell r="AD92">
            <v>17629.93159388626</v>
          </cell>
          <cell r="AE92">
            <v>18820.715698680051</v>
          </cell>
          <cell r="AF92">
            <v>20083.11929852657</v>
          </cell>
          <cell r="AG92">
            <v>21420.79794434521</v>
          </cell>
          <cell r="AH92">
            <v>22837.548385880509</v>
          </cell>
          <cell r="AI92">
            <v>24337.3109996737</v>
          </cell>
          <cell r="AJ92">
            <v>25924.172044867119</v>
          </cell>
          <cell r="AK92">
            <v>27602.365728877849</v>
          </cell>
          <cell r="AL92">
            <v>29376.276064385249</v>
          </cell>
          <cell r="AM92">
            <v>31250.438498517</v>
          </cell>
          <cell r="AN92">
            <v>33229.54129459148</v>
          </cell>
          <cell r="AO92">
            <v>35323.16189794895</v>
          </cell>
          <cell r="AP92">
            <v>37548.690648696836</v>
          </cell>
        </row>
        <row r="93">
          <cell r="C93" t="str">
            <v>Санкт-Петербург - ВыползовоТариф Бизнес</v>
          </cell>
          <cell r="D93">
            <v>6376.0535865079773</v>
          </cell>
          <cell r="E93">
            <v>6911.2506715733898</v>
          </cell>
          <cell r="F93">
            <v>7331.8847304218389</v>
          </cell>
          <cell r="G93">
            <v>7778.1195118994137</v>
          </cell>
          <cell r="H93">
            <v>8251.5131328189309</v>
          </cell>
          <cell r="I93">
            <v>8753.7185404414486</v>
          </cell>
          <cell r="J93">
            <v>9286.4892840678749</v>
          </cell>
          <cell r="K93">
            <v>9851.6856379024557</v>
          </cell>
          <cell r="L93">
            <v>10697.18194218664</v>
          </cell>
          <cell r="M93">
            <v>11552.19421892008</v>
          </cell>
          <cell r="N93">
            <v>12450.09106030072</v>
          </cell>
          <cell r="O93">
            <v>13391.44748656419</v>
          </cell>
          <cell r="P93">
            <v>14397.31926005449</v>
          </cell>
          <cell r="Q93">
            <v>15462.4770310525</v>
          </cell>
          <cell r="R93">
            <v>16600.95656100523</v>
          </cell>
          <cell r="S93">
            <v>17815.49158580435</v>
          </cell>
          <cell r="T93">
            <v>19110.543185747851</v>
          </cell>
          <cell r="U93">
            <v>20490.789564610659</v>
          </cell>
          <cell r="V93">
            <v>21961.131546542048</v>
          </cell>
          <cell r="W93">
            <v>23526.699686749231</v>
          </cell>
          <cell r="X93">
            <v>25192.861364714721</v>
          </cell>
          <cell r="Y93">
            <v>26965.227838747211</v>
          </cell>
          <cell r="Z93">
            <v>28849.661239241781</v>
          </cell>
          <cell r="AA93">
            <v>30852.281476581491</v>
          </cell>
          <cell r="AB93">
            <v>32979.473038153599</v>
          </cell>
          <cell r="AC93">
            <v>35237.891647485361</v>
          </cell>
          <cell r="AD93">
            <v>37634.470757032133</v>
          </cell>
          <cell r="AE93">
            <v>40176.427844678561</v>
          </cell>
          <cell r="AF93">
            <v>42871.270482551918</v>
          </cell>
          <cell r="AG93">
            <v>45726.802145296759</v>
          </cell>
          <cell r="AH93">
            <v>48751.127723534562</v>
          </cell>
          <cell r="AI93">
            <v>51952.658706834773</v>
          </cell>
          <cell r="AJ93">
            <v>55340.117999162103</v>
          </cell>
          <cell r="AK93">
            <v>58922.544328453121</v>
          </cell>
          <cell r="AL93">
            <v>62709.296210712317</v>
          </cell>
          <cell r="AM93">
            <v>66710.055427822357</v>
          </cell>
          <cell r="AN93">
            <v>70934.829977137968</v>
          </cell>
          <cell r="AO93">
            <v>75404.064752881546</v>
          </cell>
          <cell r="AP93">
            <v>80154.882771823948</v>
          </cell>
        </row>
        <row r="94">
          <cell r="C94" t="str">
            <v>Санкт-Петербург - ВыползовоТариф Первый</v>
          </cell>
          <cell r="D94">
            <v>9953.1229108196039</v>
          </cell>
          <cell r="E94">
            <v>10832.38178876141</v>
          </cell>
          <cell r="F94">
            <v>11491.664592313</v>
          </cell>
          <cell r="G94">
            <v>12191.07281089656</v>
          </cell>
          <cell r="H94">
            <v>12933.048566349369</v>
          </cell>
          <cell r="I94">
            <v>13720.182613465209</v>
          </cell>
          <cell r="J94">
            <v>14555.22338612611</v>
          </cell>
          <cell r="K94">
            <v>15441.08659400167</v>
          </cell>
          <cell r="L94">
            <v>16766.279269571049</v>
          </cell>
          <cell r="M94">
            <v>18106.386850062889</v>
          </cell>
          <cell r="N94">
            <v>19513.70975802272</v>
          </cell>
          <cell r="O94">
            <v>20989.14925416655</v>
          </cell>
          <cell r="P94">
            <v>22565.707188290049</v>
          </cell>
          <cell r="Q94">
            <v>24235.187314104929</v>
          </cell>
          <cell r="R94">
            <v>26019.588649432291</v>
          </cell>
          <cell r="S94">
            <v>27923.19592829427</v>
          </cell>
          <cell r="T94">
            <v>29953.001246228221</v>
          </cell>
          <cell r="U94">
            <v>32116.337008291332</v>
          </cell>
          <cell r="V94">
            <v>34420.88454464903</v>
          </cell>
          <cell r="W94">
            <v>36874.685255538963</v>
          </cell>
          <cell r="X94">
            <v>39486.151728859157</v>
          </cell>
          <cell r="Y94">
            <v>42264.078797151997</v>
          </cell>
          <cell r="Z94">
            <v>45217.654498524142</v>
          </cell>
          <cell r="AA94">
            <v>48356.470903779089</v>
          </cell>
          <cell r="AB94">
            <v>51690.534769752987</v>
          </cell>
          <cell r="AC94">
            <v>55230.277976543053</v>
          </cell>
          <cell r="AD94">
            <v>58986.567704010049</v>
          </cell>
          <cell r="AE94">
            <v>62970.716300629487</v>
          </cell>
          <cell r="AF94">
            <v>67194.490795475213</v>
          </cell>
          <cell r="AG94">
            <v>71670.122001846554</v>
          </cell>
          <cell r="AH94">
            <v>76410.313158815581</v>
          </cell>
          <cell r="AI94">
            <v>81428.248054781594</v>
          </cell>
          <cell r="AJ94">
            <v>86737.598574985386</v>
          </cell>
          <cell r="AK94">
            <v>92352.531612880397</v>
          </cell>
          <cell r="AL94">
            <v>98287.715283277415</v>
          </cell>
          <cell r="AM94">
            <v>104558.3243733071</v>
          </cell>
          <cell r="AN94">
            <v>111180.0449654804</v>
          </cell>
          <cell r="AO94">
            <v>118184.9214625215</v>
          </cell>
          <cell r="AP94">
            <v>125631.1388022835</v>
          </cell>
        </row>
        <row r="95">
          <cell r="C95" t="str">
            <v>Москва - ЖаровскаяМосква - Жаровская</v>
          </cell>
        </row>
        <row r="96">
          <cell r="C96" t="str">
            <v>Москва - ЖаровскаяТариф Эконом</v>
          </cell>
          <cell r="D96">
            <v>3199.6795648529969</v>
          </cell>
          <cell r="E96">
            <v>3473.7895180133178</v>
          </cell>
          <cell r="F96">
            <v>3685.2120598923379</v>
          </cell>
          <cell r="G96">
            <v>3909.5022470281601</v>
          </cell>
          <cell r="H96">
            <v>4147.4432328772828</v>
          </cell>
          <cell r="I96">
            <v>4399.8658353541714</v>
          </cell>
          <cell r="J96">
            <v>4667.651437795982</v>
          </cell>
          <cell r="K96">
            <v>4951.7350664864371</v>
          </cell>
          <cell r="L96">
            <v>5376.7053560784261</v>
          </cell>
          <cell r="M96">
            <v>5806.4586418195686</v>
          </cell>
          <cell r="N96">
            <v>6257.7669193031916</v>
          </cell>
          <cell r="O96">
            <v>6730.9192099180646</v>
          </cell>
          <cell r="P96">
            <v>7236.4987336919567</v>
          </cell>
          <cell r="Q96">
            <v>7771.8770719632457</v>
          </cell>
          <cell r="R96">
            <v>8344.1089943111274</v>
          </cell>
          <cell r="S96">
            <v>8954.5685534992372</v>
          </cell>
          <cell r="T96">
            <v>9605.4980143092453</v>
          </cell>
          <cell r="U96">
            <v>10299.248773906271</v>
          </cell>
          <cell r="V96">
            <v>11038.28412473451</v>
          </cell>
          <cell r="W96">
            <v>11825.18282854744</v>
          </cell>
          <cell r="X96">
            <v>12662.64268165885</v>
          </cell>
          <cell r="Y96">
            <v>13553.48406075915</v>
          </cell>
          <cell r="Z96">
            <v>14500.653437925141</v>
          </cell>
          <cell r="AA96">
            <v>15507.226852726249</v>
          </cell>
          <cell r="AB96">
            <v>16576.413328596511</v>
          </cell>
          <cell r="AC96">
            <v>17711.558219904138</v>
          </cell>
          <cell r="AD96">
            <v>18916.14647540982</v>
          </cell>
          <cell r="AE96">
            <v>20193.805803066029</v>
          </cell>
          <cell r="AF96">
            <v>21548.30972037348</v>
          </cell>
          <cell r="AG96">
            <v>22983.580473784001</v>
          </cell>
          <cell r="AH96">
            <v>24503.691809920841</v>
          </cell>
          <cell r="AI96">
            <v>26112.871580685998</v>
          </cell>
          <cell r="AJ96">
            <v>27815.504163639991</v>
          </cell>
          <cell r="AK96">
            <v>29616.132678379261</v>
          </cell>
          <cell r="AL96">
            <v>31519.46097900283</v>
          </cell>
          <cell r="AM96">
            <v>33530.355402157656</v>
          </cell>
          <cell r="AN96">
            <v>35653.846249587863</v>
          </cell>
          <cell r="AO96">
            <v>37900.209701773907</v>
          </cell>
          <cell r="AP96">
            <v>40288.104833992249</v>
          </cell>
        </row>
        <row r="97">
          <cell r="C97" t="str">
            <v>Москва - ЖаровскаяТариф Комфорт</v>
          </cell>
          <cell r="D97">
            <v>4398.4306709453112</v>
          </cell>
          <cell r="E97">
            <v>4774.0234597635581</v>
          </cell>
          <cell r="F97">
            <v>5064.5811258568483</v>
          </cell>
          <cell r="G97">
            <v>5372.8227765465972</v>
          </cell>
          <cell r="H97">
            <v>5699.824698393787</v>
          </cell>
          <cell r="I97">
            <v>6046.7286831488645</v>
          </cell>
          <cell r="J97">
            <v>6414.7460145429823</v>
          </cell>
          <cell r="K97">
            <v>6805.1616977242211</v>
          </cell>
          <cell r="L97">
            <v>7389.1976969389862</v>
          </cell>
          <cell r="M97">
            <v>7979.8069602233236</v>
          </cell>
          <cell r="N97">
            <v>8600.0392146877512</v>
          </cell>
          <cell r="O97">
            <v>9250.2916619713433</v>
          </cell>
          <cell r="P97">
            <v>9945.1088046786645</v>
          </cell>
          <cell r="Q97">
            <v>10680.87841118554</v>
          </cell>
          <cell r="R97">
            <v>11467.295840206039</v>
          </cell>
          <cell r="S97">
            <v>12306.24945028766</v>
          </cell>
          <cell r="T97">
            <v>13200.820782385939</v>
          </cell>
          <cell r="U97">
            <v>14154.241357919011</v>
          </cell>
          <cell r="V97">
            <v>15169.89647581067</v>
          </cell>
          <cell r="W97">
            <v>16251.330124274469</v>
          </cell>
          <cell r="X97">
            <v>17402.249880532629</v>
          </cell>
          <cell r="Y97">
            <v>18626.531783825722</v>
          </cell>
          <cell r="Z97">
            <v>19928.225166085151</v>
          </cell>
          <cell r="AA97">
            <v>21311.557423643189</v>
          </cell>
          <cell r="AB97">
            <v>22780.938712347681</v>
          </cell>
          <cell r="AC97">
            <v>24340.966547434429</v>
          </cell>
          <cell r="AD97">
            <v>25996.430288492869</v>
          </cell>
          <cell r="AE97">
            <v>27752.315488844539</v>
          </cell>
          <cell r="AF97">
            <v>29613.80808764356</v>
          </cell>
          <cell r="AG97">
            <v>31586.298422007028</v>
          </cell>
          <cell r="AH97">
            <v>33675.385035498839</v>
          </cell>
          <cell r="AI97">
            <v>35886.878258324672</v>
          </cell>
          <cell r="AJ97">
            <v>38226.803533655933</v>
          </cell>
          <cell r="AK97">
            <v>40701.404463593914</v>
          </cell>
          <cell r="AL97">
            <v>43317.145547413384</v>
          </cell>
          <cell r="AM97">
            <v>46080.714583898691</v>
          </cell>
          <cell r="AN97">
            <v>48999.024708808844</v>
          </cell>
          <cell r="AO97">
            <v>52086.198460782383</v>
          </cell>
          <cell r="AP97">
            <v>55367.878977564273</v>
          </cell>
        </row>
        <row r="98">
          <cell r="C98" t="str">
            <v>Москва - ЖаровскаяТариф Бизнес</v>
          </cell>
          <cell r="D98">
            <v>9400.5023868491553</v>
          </cell>
          <cell r="E98">
            <v>10189.567504846</v>
          </cell>
          <cell r="F98">
            <v>10809.727204030791</v>
          </cell>
          <cell r="G98">
            <v>11467.6311992625</v>
          </cell>
          <cell r="H98">
            <v>12165.57669219088</v>
          </cell>
          <cell r="I98">
            <v>12906.000697257879</v>
          </cell>
          <cell r="J98">
            <v>13691.48855101454</v>
          </cell>
          <cell r="K98">
            <v>14524.782939333871</v>
          </cell>
          <cell r="L98">
            <v>15771.33614323324</v>
          </cell>
          <cell r="M98">
            <v>17031.91917302864</v>
          </cell>
          <cell r="N98">
            <v>18355.728844014451</v>
          </cell>
          <cell r="O98">
            <v>19743.61293436947</v>
          </cell>
          <cell r="P98">
            <v>21226.61490091011</v>
          </cell>
          <cell r="Q98">
            <v>22797.024878302029</v>
          </cell>
          <cell r="R98">
            <v>24475.536420511478</v>
          </cell>
          <cell r="S98">
            <v>26266.179997236661</v>
          </cell>
          <cell r="T98">
            <v>28175.532779672911</v>
          </cell>
          <cell r="U98">
            <v>30210.492053916689</v>
          </cell>
          <cell r="V98">
            <v>32378.283325288441</v>
          </cell>
          <cell r="W98">
            <v>34686.470801933043</v>
          </cell>
          <cell r="X98">
            <v>37142.96785266899</v>
          </cell>
          <cell r="Y98">
            <v>39756.047407829807</v>
          </cell>
          <cell r="Z98">
            <v>42534.352269741961</v>
          </cell>
          <cell r="AA98">
            <v>45486.905297354577</v>
          </cell>
          <cell r="AB98">
            <v>48623.119427386016</v>
          </cell>
          <cell r="AC98">
            <v>51952.807492187101</v>
          </cell>
          <cell r="AD98">
            <v>55486.191792350408</v>
          </cell>
          <cell r="AE98">
            <v>59233.913379925012</v>
          </cell>
          <cell r="AF98">
            <v>63207.041005940708</v>
          </cell>
          <cell r="AG98">
            <v>67417.079683808508</v>
          </cell>
          <cell r="AH98">
            <v>71875.978818061863</v>
          </cell>
          <cell r="AI98">
            <v>76596.139845843951</v>
          </cell>
          <cell r="AJ98">
            <v>81590.423336537991</v>
          </cell>
          <cell r="AK98">
            <v>86872.155493004306</v>
          </cell>
          <cell r="AL98">
            <v>92455.133996025179</v>
          </cell>
          <cell r="AM98">
            <v>98353.633131796916</v>
          </cell>
          <cell r="AN98">
            <v>104582.40814064869</v>
          </cell>
          <cell r="AO98">
            <v>111171.6018490687</v>
          </cell>
          <cell r="AP98">
            <v>118175.946389249</v>
          </cell>
        </row>
        <row r="99">
          <cell r="C99" t="str">
            <v>Москва - ЖаровскаяТариф Первый</v>
          </cell>
          <cell r="D99">
            <v>14830.71600728367</v>
          </cell>
          <cell r="E99">
            <v>16140.86145936711</v>
          </cell>
          <cell r="F99">
            <v>17123.230120496632</v>
          </cell>
          <cell r="G99">
            <v>18165.38791920093</v>
          </cell>
          <cell r="H99">
            <v>19270.97375512468</v>
          </cell>
          <cell r="I99">
            <v>20443.847999423309</v>
          </cell>
          <cell r="J99">
            <v>21688.10597401077</v>
          </cell>
          <cell r="K99">
            <v>23008.092251184338</v>
          </cell>
          <cell r="L99">
            <v>24982.704280232771</v>
          </cell>
          <cell r="M99">
            <v>26979.540361085099</v>
          </cell>
          <cell r="N99">
            <v>29076.53108103374</v>
          </cell>
          <cell r="O99">
            <v>31275.019369513731</v>
          </cell>
          <cell r="P99">
            <v>33624.179849045089</v>
          </cell>
          <cell r="Q99">
            <v>36111.799649143162</v>
          </cell>
          <cell r="R99">
            <v>38770.658550452426</v>
          </cell>
          <cell r="S99">
            <v>41607.141048976628</v>
          </cell>
          <cell r="T99">
            <v>44631.665762484226</v>
          </cell>
          <cell r="U99">
            <v>47855.158389173448</v>
          </cell>
          <cell r="V99">
            <v>51289.064545386267</v>
          </cell>
          <cell r="W99">
            <v>54945.366372234967</v>
          </cell>
          <cell r="X99">
            <v>58836.599101437263</v>
          </cell>
          <cell r="Y99">
            <v>62975.867530847689</v>
          </cell>
          <cell r="Z99">
            <v>67376.862356848185</v>
          </cell>
          <cell r="AA99">
            <v>72053.876307387836</v>
          </cell>
          <cell r="AB99">
            <v>77021.82001605579</v>
          </cell>
          <cell r="AC99">
            <v>82296.237574141793</v>
          </cell>
          <cell r="AD99">
            <v>87893.321694200422</v>
          </cell>
          <cell r="AE99">
            <v>93829.928415197399</v>
          </cell>
          <cell r="AF99">
            <v>100123.59127590321</v>
          </cell>
          <cell r="AG99">
            <v>106792.5348798121</v>
          </cell>
          <cell r="AH99">
            <v>113855.6877715366</v>
          </cell>
          <cell r="AI99">
            <v>121332.6945413628</v>
          </cell>
          <cell r="AJ99">
            <v>129243.9270714735</v>
          </cell>
          <cell r="AK99">
            <v>137610.4948342822</v>
          </cell>
          <cell r="AL99">
            <v>146454.25415036979</v>
          </cell>
          <cell r="AM99">
            <v>155797.8163107273</v>
          </cell>
          <cell r="AN99">
            <v>165664.55446537721</v>
          </cell>
          <cell r="AO99">
            <v>176102.21658655751</v>
          </cell>
          <cell r="AP99">
            <v>187197.5015221503</v>
          </cell>
        </row>
        <row r="100">
          <cell r="C100" t="str">
            <v>Санкт-Петербург - СадваСанкт-Петербург - Садва</v>
          </cell>
        </row>
        <row r="101">
          <cell r="C101" t="str">
            <v>Санкт-Петербург - СадваТариф Эконом</v>
          </cell>
          <cell r="D101">
            <v>2500.501104542619</v>
          </cell>
          <cell r="E101">
            <v>2714.7138801506658</v>
          </cell>
          <cell r="F101">
            <v>2879.937393561449</v>
          </cell>
          <cell r="G101">
            <v>3055.2167767946139</v>
          </cell>
          <cell r="H101">
            <v>3241.1640524115801</v>
          </cell>
          <cell r="I101">
            <v>3438.428492025545</v>
          </cell>
          <cell r="J101">
            <v>3647.6988833614719</v>
          </cell>
          <cell r="K101">
            <v>3869.705935294372</v>
          </cell>
          <cell r="L101">
            <v>4201.8137782781387</v>
          </cell>
          <cell r="M101">
            <v>4537.659460289713</v>
          </cell>
          <cell r="N101">
            <v>4890.3500417882606</v>
          </cell>
          <cell r="O101">
            <v>5260.1113886104131</v>
          </cell>
          <cell r="P101">
            <v>5655.2141268712758</v>
          </cell>
          <cell r="Q101">
            <v>6073.6041872075384</v>
          </cell>
          <cell r="R101">
            <v>6520.7947651650411</v>
          </cell>
          <cell r="S101">
            <v>6997.8596621615616</v>
          </cell>
          <cell r="T101">
            <v>7506.5511741534938</v>
          </cell>
          <cell r="U101">
            <v>8048.7068824015296</v>
          </cell>
          <cell r="V101">
            <v>8626.2518126317445</v>
          </cell>
          <cell r="W101">
            <v>9241.2012280860308</v>
          </cell>
          <cell r="X101">
            <v>9895.6634157118078</v>
          </cell>
          <cell r="Y101">
            <v>10591.842457163701</v>
          </cell>
          <cell r="Z101">
            <v>11332.04097573045</v>
          </cell>
          <cell r="AA101">
            <v>12118.66284973334</v>
          </cell>
          <cell r="AB101">
            <v>12954.21588236911</v>
          </cell>
          <cell r="AC101">
            <v>13841.31441739414</v>
          </cell>
          <cell r="AD101">
            <v>14782.681889467691</v>
          </cell>
          <cell r="AE101">
            <v>15781.15329739453</v>
          </cell>
          <cell r="AF101">
            <v>16839.677587932409</v>
          </cell>
          <cell r="AG101">
            <v>17961.319937261109</v>
          </cell>
          <cell r="AH101">
            <v>19149.263916649099</v>
          </cell>
          <cell r="AI101">
            <v>20406.813528305542</v>
          </cell>
          <cell r="AJ101">
            <v>21737.395096870299</v>
          </cell>
          <cell r="AK101">
            <v>23144.5590014794</v>
          </cell>
          <cell r="AL101">
            <v>24631.981232847469</v>
          </cell>
          <cell r="AM101">
            <v>26203.464759338742</v>
          </cell>
          <cell r="AN101">
            <v>27862.940685556779</v>
          </cell>
          <cell r="AO101">
            <v>29618.439690862149</v>
          </cell>
          <cell r="AP101">
            <v>31484.543559897</v>
          </cell>
        </row>
        <row r="102">
          <cell r="C102" t="str">
            <v>Санкт-Петербург - СадваТариф Комфорт</v>
          </cell>
          <cell r="D102">
            <v>3436.4953151256059</v>
          </cell>
          <cell r="E102">
            <v>3729.9460833041262</v>
          </cell>
          <cell r="F102">
            <v>3956.9588824143202</v>
          </cell>
          <cell r="G102">
            <v>4197.7881844467756</v>
          </cell>
          <cell r="H102">
            <v>4453.2748924419757</v>
          </cell>
          <cell r="I102">
            <v>4724.3110886662571</v>
          </cell>
          <cell r="J102">
            <v>5011.8431494931028</v>
          </cell>
          <cell r="K102">
            <v>5316.8750498630452</v>
          </cell>
          <cell r="L102">
            <v>5773.1825661833809</v>
          </cell>
          <cell r="M102">
            <v>6234.6257758612101</v>
          </cell>
          <cell r="N102">
            <v>6719.2134381918549</v>
          </cell>
          <cell r="O102">
            <v>7227.2558869452332</v>
          </cell>
          <cell r="P102">
            <v>7770.1167467412797</v>
          </cell>
          <cell r="Q102">
            <v>8344.9737798360566</v>
          </cell>
          <cell r="R102">
            <v>8959.4019731492081</v>
          </cell>
          <cell r="S102">
            <v>9614.8767018286453</v>
          </cell>
          <cell r="T102">
            <v>10313.805574826139</v>
          </cell>
          <cell r="U102">
            <v>11058.713380877691</v>
          </cell>
          <cell r="V102">
            <v>11852.24505513457</v>
          </cell>
          <cell r="W102">
            <v>12697.169516741769</v>
          </cell>
          <cell r="X102">
            <v>13596.383496990011</v>
          </cell>
          <cell r="Y102">
            <v>14552.915346599801</v>
          </cell>
          <cell r="Z102">
            <v>15569.928809927431</v>
          </cell>
          <cell r="AA102">
            <v>16650.72675310351</v>
          </cell>
          <cell r="AB102">
            <v>17798.75483232773</v>
          </cell>
          <cell r="AC102">
            <v>19017.605087750529</v>
          </cell>
          <cell r="AD102">
            <v>20311.01944757831</v>
          </cell>
          <cell r="AE102">
            <v>21682.893126244271</v>
          </cell>
          <cell r="AF102">
            <v>23137.27789969779</v>
          </cell>
          <cell r="AG102">
            <v>24678.385240083298</v>
          </cell>
          <cell r="AH102">
            <v>26310.589291309891</v>
          </cell>
          <cell r="AI102">
            <v>28038.42966625882</v>
          </cell>
          <cell r="AJ102">
            <v>29866.614045641491</v>
          </cell>
          <cell r="AK102">
            <v>31800.02055781227</v>
          </cell>
          <cell r="AL102">
            <v>33843.699918159044</v>
          </cell>
          <cell r="AM102">
            <v>36002.877306049268</v>
          </cell>
          <cell r="AN102">
            <v>38282.953956702033</v>
          </cell>
          <cell r="AO102">
            <v>40694.963814153241</v>
          </cell>
          <cell r="AP102">
            <v>43258.941870271192</v>
          </cell>
        </row>
        <row r="103">
          <cell r="C103" t="str">
            <v>Санкт-Петербург - СадваТариф Бизнес</v>
          </cell>
          <cell r="D103">
            <v>7345.3217797998059</v>
          </cell>
          <cell r="E103">
            <v>7961.8778912062307</v>
          </cell>
          <cell r="F103">
            <v>8446.4554550339617</v>
          </cell>
          <cell r="G103">
            <v>8960.5254851584396</v>
          </cell>
          <cell r="H103">
            <v>9505.8829585517615</v>
          </cell>
          <cell r="I103">
            <v>10084.43209846939</v>
          </cell>
          <cell r="J103">
            <v>10698.1930234215</v>
          </cell>
          <cell r="K103">
            <v>11349.308800815439</v>
          </cell>
          <cell r="L103">
            <v>12323.334871069999</v>
          </cell>
          <cell r="M103">
            <v>13308.32350284309</v>
          </cell>
          <cell r="N103">
            <v>14342.71587980848</v>
          </cell>
          <cell r="O103">
            <v>15427.17443502186</v>
          </cell>
          <cell r="P103">
            <v>16585.95576351296</v>
          </cell>
          <cell r="Q103">
            <v>17813.03556578916</v>
          </cell>
          <cell r="R103">
            <v>19124.583276886431</v>
          </cell>
          <cell r="S103">
            <v>20523.748206877652</v>
          </cell>
          <cell r="T103">
            <v>22015.669595863241</v>
          </cell>
          <cell r="U103">
            <v>23605.73681386844</v>
          </cell>
          <cell r="V103">
            <v>25299.595693362211</v>
          </cell>
          <cell r="W103">
            <v>27103.156720885279</v>
          </cell>
          <cell r="X103">
            <v>29022.603208556739</v>
          </cell>
          <cell r="Y103">
            <v>31064.39942103616</v>
          </cell>
          <cell r="Z103">
            <v>33235.298631877929</v>
          </cell>
          <cell r="AA103">
            <v>35542.351081550878</v>
          </cell>
          <cell r="AB103">
            <v>37992.911807716191</v>
          </cell>
          <cell r="AC103">
            <v>40594.648316664687</v>
          </cell>
          <cell r="AD103">
            <v>43355.548063118702</v>
          </cell>
          <cell r="AE103">
            <v>46283.925703908229</v>
          </cell>
          <cell r="AF103">
            <v>49388.430089346642</v>
          </cell>
          <cell r="AG103">
            <v>52678.050954461592</v>
          </cell>
          <cell r="AH103">
            <v>56162.125270593897</v>
          </cell>
          <cell r="AI103">
            <v>59850.343216268077</v>
          </cell>
          <cell r="AJ103">
            <v>63752.753724669157</v>
          </cell>
          <cell r="AK103">
            <v>67879.769563549722</v>
          </cell>
          <cell r="AL103">
            <v>72242.171901935668</v>
          </cell>
          <cell r="AM103">
            <v>76851.114316622552</v>
          </cell>
          <cell r="AN103">
            <v>81718.126190157884</v>
          </cell>
          <cell r="AO103">
            <v>86866.760387143557</v>
          </cell>
          <cell r="AP103">
            <v>92339.783251983506</v>
          </cell>
        </row>
        <row r="104">
          <cell r="C104" t="str">
            <v>Санкт-Петербург - СадваТариф Первый</v>
          </cell>
          <cell r="D104">
            <v>11508.612065498401</v>
          </cell>
          <cell r="E104">
            <v>12525.28285536453</v>
          </cell>
          <cell r="F104">
            <v>13287.599376069949</v>
          </cell>
          <cell r="G104">
            <v>14096.31217256819</v>
          </cell>
          <cell r="H104">
            <v>14954.24502520372</v>
          </cell>
          <cell r="I104">
            <v>15864.39357586157</v>
          </cell>
          <cell r="J104">
            <v>16829.935787842249</v>
          </cell>
          <cell r="K104">
            <v>17854.243042347782</v>
          </cell>
          <cell r="L104">
            <v>19386.538840542849</v>
          </cell>
          <cell r="M104">
            <v>20936.08046763848</v>
          </cell>
          <cell r="N104">
            <v>22563.341935593678</v>
          </cell>
          <cell r="O104">
            <v>24269.365355517009</v>
          </cell>
          <cell r="P104">
            <v>26092.3101563782</v>
          </cell>
          <cell r="Q104">
            <v>28022.699170079301</v>
          </cell>
          <cell r="R104">
            <v>30085.969454335129</v>
          </cell>
          <cell r="S104">
            <v>32287.075367903879</v>
          </cell>
          <cell r="T104">
            <v>34634.101741625593</v>
          </cell>
          <cell r="U104">
            <v>37135.526899948432</v>
          </cell>
          <cell r="V104">
            <v>39800.232622974298</v>
          </cell>
          <cell r="W104">
            <v>42637.517033174663</v>
          </cell>
          <cell r="X104">
            <v>45657.107450452277</v>
          </cell>
          <cell r="Y104">
            <v>48869.173177127508</v>
          </cell>
          <cell r="Z104">
            <v>52284.338171847266</v>
          </cell>
          <cell r="AA104">
            <v>55913.693568798437</v>
          </cell>
          <cell r="AB104">
            <v>59768.809995963093</v>
          </cell>
          <cell r="AC104">
            <v>63861.749643492818</v>
          </cell>
          <cell r="AD104">
            <v>68205.07803061053</v>
          </cell>
          <cell r="AE104">
            <v>72811.875416780575</v>
          </cell>
          <cell r="AF104">
            <v>77695.747800239682</v>
          </cell>
          <cell r="AG104">
            <v>82870.837444352685</v>
          </cell>
          <cell r="AH104">
            <v>88351.832869673948</v>
          </cell>
          <cell r="AI104">
            <v>94153.978247063293</v>
          </cell>
          <cell r="AJ104">
            <v>100293.08212473719</v>
          </cell>
          <cell r="AK104">
            <v>106785.52541975951</v>
          </cell>
          <cell r="AL104">
            <v>113648.268602186</v>
          </cell>
          <cell r="AM104">
            <v>120898.8579979114</v>
          </cell>
          <cell r="AN104">
            <v>128555.43113422859</v>
          </cell>
          <cell r="AO104">
            <v>136655.04036175451</v>
          </cell>
          <cell r="AP104">
            <v>145264.96384873879</v>
          </cell>
        </row>
        <row r="105">
          <cell r="C105" t="str">
            <v>Новая Тверь - ВалдайНовая Тверь - Валдай</v>
          </cell>
        </row>
        <row r="106">
          <cell r="C106" t="str">
            <v>Новая Тверь - ВалдайТариф Эконом</v>
          </cell>
          <cell r="D106">
            <v>1620.588621267118</v>
          </cell>
          <cell r="E106">
            <v>1759.42110810337</v>
          </cell>
          <cell r="F106">
            <v>1866.5033826574011</v>
          </cell>
          <cell r="G106">
            <v>1980.1029221634401</v>
          </cell>
          <cell r="H106">
            <v>2100.616381834795</v>
          </cell>
          <cell r="I106">
            <v>2228.4645582016292</v>
          </cell>
          <cell r="J106">
            <v>2364.0938584050991</v>
          </cell>
          <cell r="K106">
            <v>2507.9778589159991</v>
          </cell>
          <cell r="L106">
            <v>2723.2187921814561</v>
          </cell>
          <cell r="M106">
            <v>2940.882239632404</v>
          </cell>
          <cell r="N106">
            <v>3169.4629597793678</v>
          </cell>
          <cell r="O106">
            <v>3409.107337522601</v>
          </cell>
          <cell r="P106">
            <v>3665.1756114752961</v>
          </cell>
          <cell r="Q106">
            <v>3936.3365279013792</v>
          </cell>
          <cell r="R106">
            <v>4226.1632193830274</v>
          </cell>
          <cell r="S106">
            <v>4535.3516225690964</v>
          </cell>
          <cell r="T106">
            <v>4865.0374101784882</v>
          </cell>
          <cell r="U106">
            <v>5216.4115288083995</v>
          </cell>
          <cell r="V106">
            <v>5590.7215982985708</v>
          </cell>
          <cell r="W106">
            <v>5989.2737219227574</v>
          </cell>
          <cell r="X106">
            <v>6413.4342921337111</v>
          </cell>
          <cell r="Y106">
            <v>6864.6317864647344</v>
          </cell>
          <cell r="Z106">
            <v>7344.3585478282221</v>
          </cell>
          <cell r="AA106">
            <v>7854.1725430842143</v>
          </cell>
          <cell r="AB106">
            <v>8395.6990933804009</v>
          </cell>
          <cell r="AC106">
            <v>8970.632569391506</v>
          </cell>
          <cell r="AD106">
            <v>9580.7380442108897</v>
          </cell>
          <cell r="AE106">
            <v>10227.852896272831</v>
          </cell>
          <cell r="AF106">
            <v>10913.88835431127</v>
          </cell>
          <cell r="AG106">
            <v>11640.830975992651</v>
          </cell>
          <cell r="AH106">
            <v>12410.74405149642</v>
          </cell>
          <cell r="AI106">
            <v>13225.76892296197</v>
          </cell>
          <cell r="AJ106">
            <v>14088.12621037385</v>
          </cell>
          <cell r="AK106">
            <v>15000.11693412298</v>
          </cell>
          <cell r="AL106">
            <v>15964.123524160361</v>
          </cell>
          <cell r="AM106">
            <v>16982.61070535531</v>
          </cell>
          <cell r="AN106">
            <v>18058.126248383869</v>
          </cell>
          <cell r="AO106">
            <v>19195.874881038049</v>
          </cell>
          <cell r="AP106">
            <v>20405.30713874289</v>
          </cell>
        </row>
        <row r="107">
          <cell r="C107" t="str">
            <v>Новая Тверь - ВалдайТариф Комфорт</v>
          </cell>
          <cell r="D107">
            <v>2226.5623035074291</v>
          </cell>
          <cell r="E107">
            <v>2416.693922626981</v>
          </cell>
          <cell r="F107">
            <v>2563.7792798185678</v>
          </cell>
          <cell r="G107">
            <v>2719.8165783783279</v>
          </cell>
          <cell r="H107">
            <v>2885.350653331237</v>
          </cell>
          <cell r="I107">
            <v>3060.9594995714269</v>
          </cell>
          <cell r="J107">
            <v>3247.2562900454341</v>
          </cell>
          <cell r="K107">
            <v>3444.8915167665632</v>
          </cell>
          <cell r="L107">
            <v>3740.5407237286931</v>
          </cell>
          <cell r="M107">
            <v>4039.517431584492</v>
          </cell>
          <cell r="N107">
            <v>4353.4898141281774</v>
          </cell>
          <cell r="O107">
            <v>4682.6589417556752</v>
          </cell>
          <cell r="P107">
            <v>5034.387495305974</v>
          </cell>
          <cell r="Q107">
            <v>5406.8469001424301</v>
          </cell>
          <cell r="R107">
            <v>5804.9451159094533</v>
          </cell>
          <cell r="S107">
            <v>6229.6380626321388</v>
          </cell>
          <cell r="T107">
            <v>6682.4856700767214</v>
          </cell>
          <cell r="U107">
            <v>7165.1237907348868</v>
          </cell>
          <cell r="V107">
            <v>7679.2661219532019</v>
          </cell>
          <cell r="W107">
            <v>8226.7066923638558</v>
          </cell>
          <cell r="X107">
            <v>8809.3223422078081</v>
          </cell>
          <cell r="Y107">
            <v>9429.075190137286</v>
          </cell>
          <cell r="Z107">
            <v>10088.015078586421</v>
          </cell>
          <cell r="AA107">
            <v>10788.281989294041</v>
          </cell>
          <cell r="AB107">
            <v>11532.108420052689</v>
          </cell>
          <cell r="AC107">
            <v>12321.82171324413</v>
          </cell>
          <cell r="AD107">
            <v>13159.846326207249</v>
          </cell>
          <cell r="AE107">
            <v>14048.706032969299</v>
          </cell>
          <cell r="AF107">
            <v>14991.026046360161</v>
          </cell>
          <cell r="AG107">
            <v>15989.535049022819</v>
          </cell>
          <cell r="AH107">
            <v>17047.067121334228</v>
          </cell>
          <cell r="AI107">
            <v>18166.563553762458</v>
          </cell>
          <cell r="AJ107">
            <v>19351.074530709851</v>
          </cell>
          <cell r="AK107">
            <v>20603.760672433251</v>
          </cell>
          <cell r="AL107">
            <v>21927.894421190591</v>
          </cell>
          <cell r="AM107">
            <v>23326.861257345379</v>
          </cell>
          <cell r="AN107">
            <v>24804.160730766991</v>
          </cell>
          <cell r="AO107">
            <v>26366.941916776821</v>
          </cell>
          <cell r="AP107">
            <v>28028.185818854949</v>
          </cell>
        </row>
        <row r="108">
          <cell r="C108" t="str">
            <v>Новая Тверь - ВалдайТариф Бизнес</v>
          </cell>
          <cell r="D108">
            <v>4759.7209391865326</v>
          </cell>
          <cell r="E108">
            <v>5159.2453060720036</v>
          </cell>
          <cell r="F108">
            <v>5473.2484289241274</v>
          </cell>
          <cell r="G108">
            <v>5806.3624789199621</v>
          </cell>
          <cell r="H108">
            <v>6159.7505895117347</v>
          </cell>
          <cell r="I108">
            <v>6534.6466850357301</v>
          </cell>
          <cell r="J108">
            <v>6932.3597892026464</v>
          </cell>
          <cell r="K108">
            <v>7354.2785958122504</v>
          </cell>
          <cell r="L108">
            <v>7985.4411807726274</v>
          </cell>
          <cell r="M108">
            <v>8623.7074345947767</v>
          </cell>
          <cell r="N108">
            <v>9293.9869953237376</v>
          </cell>
          <cell r="O108">
            <v>9996.7091152891589</v>
          </cell>
          <cell r="P108">
            <v>10747.591910965381</v>
          </cell>
          <cell r="Q108">
            <v>11542.73167529931</v>
          </cell>
          <cell r="R108">
            <v>12392.60609746819</v>
          </cell>
          <cell r="S108">
            <v>13299.25591000181</v>
          </cell>
          <cell r="T108">
            <v>14266.011307199469</v>
          </cell>
          <cell r="U108">
            <v>15296.364565931681</v>
          </cell>
          <cell r="V108">
            <v>16393.974149071459</v>
          </cell>
          <cell r="W108">
            <v>17562.670013616182</v>
          </cell>
          <cell r="X108">
            <v>18806.458905771</v>
          </cell>
          <cell r="Y108">
            <v>20129.52962716762</v>
          </cell>
          <cell r="Z108">
            <v>21536.25825532974</v>
          </cell>
          <cell r="AA108">
            <v>23031.213300418211</v>
          </cell>
          <cell r="AB108">
            <v>24619.160779200422</v>
          </cell>
          <cell r="AC108">
            <v>26305.069186091991</v>
          </cell>
          <cell r="AD108">
            <v>28094.1143400199</v>
          </cell>
          <cell r="AE108">
            <v>29991.684084757679</v>
          </cell>
          <cell r="AF108">
            <v>32003.382819291579</v>
          </cell>
          <cell r="AG108">
            <v>34135.035833694892</v>
          </cell>
          <cell r="AH108">
            <v>36392.693424922843</v>
          </cell>
          <cell r="AI108">
            <v>38782.634765898023</v>
          </cell>
          <cell r="AJ108">
            <v>41311.371500239467</v>
          </cell>
          <cell r="AK108">
            <v>43985.651034009563</v>
          </cell>
          <cell r="AL108">
            <v>46812.459494909657</v>
          </cell>
          <cell r="AM108">
            <v>49799.0243284639</v>
          </cell>
          <cell r="AN108">
            <v>52952.816499889632</v>
          </cell>
          <cell r="AO108">
            <v>56289.098112901891</v>
          </cell>
          <cell r="AP108">
            <v>59835.58148168568</v>
          </cell>
        </row>
        <row r="109">
          <cell r="C109" t="str">
            <v>Новая Тверь - ВалдайТариф Первый</v>
          </cell>
          <cell r="D109">
            <v>7393.6951978561219</v>
          </cell>
          <cell r="E109">
            <v>8046.8542316347302</v>
          </cell>
          <cell r="F109">
            <v>8536.6036441884135</v>
          </cell>
          <cell r="G109">
            <v>9056.1602932338137</v>
          </cell>
          <cell r="H109">
            <v>9607.3383133558764</v>
          </cell>
          <cell r="I109">
            <v>10192.062251397771</v>
          </cell>
          <cell r="J109">
            <v>10812.37378639604</v>
          </cell>
          <cell r="K109">
            <v>11470.43885850591</v>
          </cell>
          <cell r="L109">
            <v>12454.860613304139</v>
          </cell>
          <cell r="M109">
            <v>13450.36193196284</v>
          </cell>
          <cell r="N109">
            <v>14495.79427713205</v>
          </cell>
          <cell r="O109">
            <v>15591.827151950391</v>
          </cell>
          <cell r="P109">
            <v>16762.976039702949</v>
          </cell>
          <cell r="Q109">
            <v>18003.15234414057</v>
          </cell>
          <cell r="R109">
            <v>19328.698075090619</v>
          </cell>
          <cell r="S109">
            <v>20742.79615490291</v>
          </cell>
          <cell r="T109">
            <v>22250.640674282531</v>
          </cell>
          <cell r="U109">
            <v>23857.678523471441</v>
          </cell>
          <cell r="V109">
            <v>25569.615792353819</v>
          </cell>
          <cell r="W109">
            <v>27392.42604951248</v>
          </cell>
          <cell r="X109">
            <v>29332.358600949221</v>
          </cell>
          <cell r="Y109">
            <v>31395.946703785168</v>
          </cell>
          <cell r="Z109">
            <v>33590.015708599807</v>
          </cell>
          <cell r="AA109">
            <v>35921.69110238579</v>
          </cell>
          <cell r="AB109">
            <v>38398.406422398541</v>
          </cell>
          <cell r="AC109">
            <v>41027.911009470132</v>
          </cell>
          <cell r="AD109">
            <v>43818.277567642377</v>
          </cell>
          <cell r="AE109">
            <v>46777.909495260617</v>
          </cell>
          <cell r="AF109">
            <v>49915.547950967833</v>
          </cell>
          <cell r="AG109">
            <v>53240.278616350297</v>
          </cell>
          <cell r="AH109">
            <v>56761.53811532657</v>
          </cell>
          <cell r="AI109">
            <v>60489.120048744437</v>
          </cell>
          <cell r="AJ109">
            <v>64433.180601065411</v>
          </cell>
          <cell r="AK109">
            <v>68604.243674489204</v>
          </cell>
          <cell r="AL109">
            <v>73013.205504399419</v>
          </cell>
          <cell r="AM109">
            <v>77671.338708620795</v>
          </cell>
          <cell r="AN109">
            <v>82590.295721667979</v>
          </cell>
          <cell r="AO109">
            <v>87793.880785552581</v>
          </cell>
          <cell r="AP109">
            <v>93325.316685670186</v>
          </cell>
        </row>
        <row r="110">
          <cell r="C110" t="str">
            <v>Великий Новгород - ВыползовоВеликий Новгород - Выползово</v>
          </cell>
        </row>
        <row r="111">
          <cell r="C111" t="str">
            <v>Великий Новгород - ВыползовоТариф Эконом</v>
          </cell>
          <cell r="D111">
            <v>1293.6272218725319</v>
          </cell>
          <cell r="E111">
            <v>1404.4495995535569</v>
          </cell>
          <cell r="F111">
            <v>1489.927520060497</v>
          </cell>
          <cell r="G111">
            <v>1580.6078165704739</v>
          </cell>
          <cell r="H111">
            <v>1676.8071172363061</v>
          </cell>
          <cell r="I111">
            <v>1778.861320903108</v>
          </cell>
          <cell r="J111">
            <v>1887.126769965404</v>
          </cell>
          <cell r="K111">
            <v>2001.981494606928</v>
          </cell>
          <cell r="L111">
            <v>2173.7965541966551</v>
          </cell>
          <cell r="M111">
            <v>2347.5453743068492</v>
          </cell>
          <cell r="N111">
            <v>2530.0088558448952</v>
          </cell>
          <cell r="O111">
            <v>2721.3038498668552</v>
          </cell>
          <cell r="P111">
            <v>2925.7091415590262</v>
          </cell>
          <cell r="Q111">
            <v>3142.1620639067169</v>
          </cell>
          <cell r="R111">
            <v>3373.5148531375598</v>
          </cell>
          <cell r="S111">
            <v>3620.3230373984511</v>
          </cell>
          <cell r="T111">
            <v>3883.4931620797711</v>
          </cell>
          <cell r="U111">
            <v>4163.9758946844931</v>
          </cell>
          <cell r="V111">
            <v>4462.7671418641021</v>
          </cell>
          <cell r="W111">
            <v>4780.9094943953869</v>
          </cell>
          <cell r="X111">
            <v>5119.4936686078654</v>
          </cell>
          <cell r="Y111">
            <v>5479.6599399537135</v>
          </cell>
          <cell r="Z111">
            <v>5862.5995641226946</v>
          </cell>
          <cell r="AA111">
            <v>6269.5561808111952</v>
          </cell>
          <cell r="AB111">
            <v>6701.8271949579766</v>
          </cell>
          <cell r="AC111">
            <v>7160.7651299610216</v>
          </cell>
          <cell r="AD111">
            <v>7647.7789470904536</v>
          </cell>
          <cell r="AE111">
            <v>8164.3353250136788</v>
          </cell>
          <cell r="AF111">
            <v>8711.9598930514458</v>
          </cell>
          <cell r="AG111">
            <v>9292.2384114894794</v>
          </cell>
          <cell r="AH111">
            <v>9906.8178919800484</v>
          </cell>
          <cell r="AI111">
            <v>10557.40765078424</v>
          </cell>
          <cell r="AJ111">
            <v>11245.780287329049</v>
          </cell>
          <cell r="AK111">
            <v>11973.77258028657</v>
          </cell>
          <cell r="AL111">
            <v>12743.28629312617</v>
          </cell>
          <cell r="AM111">
            <v>13556.28888084756</v>
          </cell>
          <cell r="AN111">
            <v>14414.8140893739</v>
          </cell>
          <cell r="AO111">
            <v>15323.016568112091</v>
          </cell>
          <cell r="AP111">
            <v>16288.440162382691</v>
          </cell>
        </row>
        <row r="112">
          <cell r="C112" t="str">
            <v>Великий Новгород - ВыползовоТариф Комфорт</v>
          </cell>
          <cell r="D112">
            <v>1777.198899743961</v>
          </cell>
          <cell r="E112">
            <v>1928.9582750704551</v>
          </cell>
          <cell r="F112">
            <v>2046.3589579786139</v>
          </cell>
          <cell r="G112">
            <v>2170.9049070780802</v>
          </cell>
          <cell r="H112">
            <v>2303.0309991317449</v>
          </cell>
          <cell r="I112">
            <v>2443.1985784677222</v>
          </cell>
          <cell r="J112">
            <v>2591.8970678541118</v>
          </cell>
          <cell r="K112">
            <v>2749.6456774152039</v>
          </cell>
          <cell r="L112">
            <v>2985.6271473680481</v>
          </cell>
          <cell r="M112">
            <v>3224.2645640769329</v>
          </cell>
          <cell r="N112">
            <v>3474.8712378392811</v>
          </cell>
          <cell r="O112">
            <v>3737.6076591501678</v>
          </cell>
          <cell r="P112">
            <v>4018.3505772322001</v>
          </cell>
          <cell r="Q112">
            <v>4315.6404592318722</v>
          </cell>
          <cell r="R112">
            <v>4633.3947434648744</v>
          </cell>
          <cell r="S112">
            <v>4972.3764267780343</v>
          </cell>
          <cell r="T112">
            <v>5333.8306148932397</v>
          </cell>
          <cell r="U112">
            <v>5719.0630135811234</v>
          </cell>
          <cell r="V112">
            <v>6129.4414628675459</v>
          </cell>
          <cell r="W112">
            <v>6566.3979216544503</v>
          </cell>
          <cell r="X112">
            <v>7031.4304474657501</v>
          </cell>
          <cell r="Y112">
            <v>7526.1051654012963</v>
          </cell>
          <cell r="Z112">
            <v>8052.0582199843439</v>
          </cell>
          <cell r="AA112">
            <v>8610.9977031850867</v>
          </cell>
          <cell r="AB112">
            <v>9204.7055514956191</v>
          </cell>
          <cell r="AC112">
            <v>9835.0394045219455</v>
          </cell>
          <cell r="AD112">
            <v>10503.93441714761</v>
          </cell>
          <cell r="AE112">
            <v>11213.40501691292</v>
          </cell>
          <cell r="AF112">
            <v>11965.546597845499</v>
          </cell>
          <cell r="AG112">
            <v>12762.537141573441</v>
          </cell>
          <cell r="AH112">
            <v>13606.638756154431</v>
          </cell>
          <cell r="AI112">
            <v>14500.1991226641</v>
          </cell>
          <cell r="AJ112">
            <v>15445.65283920706</v>
          </cell>
          <cell r="AK112">
            <v>16445.522651647691</v>
          </cell>
          <cell r="AL112">
            <v>17502.42056000551</v>
          </cell>
          <cell r="AM112">
            <v>18619.048789126289</v>
          </cell>
          <cell r="AN112">
            <v>19798.200611925698</v>
          </cell>
          <cell r="AO112">
            <v>21045.58228183995</v>
          </cell>
          <cell r="AP112">
            <v>22371.554984390819</v>
          </cell>
        </row>
        <row r="113">
          <cell r="C113" t="str">
            <v>Великий Новгород - ВыползовоТариф Бизнес</v>
          </cell>
          <cell r="D113">
            <v>3799.2423772266002</v>
          </cell>
          <cell r="E113">
            <v>4118.1455072208828</v>
          </cell>
          <cell r="F113">
            <v>4368.7849850733719</v>
          </cell>
          <cell r="G113">
            <v>4634.6789379676047</v>
          </cell>
          <cell r="H113">
            <v>4916.7557871195568</v>
          </cell>
          <cell r="I113">
            <v>5216.0004595215014</v>
          </cell>
          <cell r="J113">
            <v>5533.4578270090014</v>
          </cell>
          <cell r="K113">
            <v>5870.2363546371444</v>
          </cell>
          <cell r="L113">
            <v>6374.034722301777</v>
          </cell>
          <cell r="M113">
            <v>6883.503287887308</v>
          </cell>
          <cell r="N113">
            <v>7418.5250978309641</v>
          </cell>
          <cell r="O113">
            <v>7979.4427843294989</v>
          </cell>
          <cell r="P113">
            <v>8578.8026573373118</v>
          </cell>
          <cell r="Q113">
            <v>9213.4887507181847</v>
          </cell>
          <cell r="R113">
            <v>9891.864428889101</v>
          </cell>
          <cell r="S113">
            <v>10615.55861875709</v>
          </cell>
          <cell r="T113">
            <v>11387.229504587131</v>
          </cell>
          <cell r="U113">
            <v>12209.66464608053</v>
          </cell>
          <cell r="V113">
            <v>13085.78425376226</v>
          </cell>
          <cell r="W113">
            <v>14018.645425960871</v>
          </cell>
          <cell r="X113">
            <v>15011.4463753808</v>
          </cell>
          <cell r="Y113">
            <v>16067.530632634949</v>
          </cell>
          <cell r="Z113">
            <v>17190.391213256458</v>
          </cell>
          <cell r="AA113">
            <v>18383.674733848631</v>
          </cell>
          <cell r="AB113">
            <v>19651.185462162601</v>
          </cell>
          <cell r="AC113">
            <v>20996.889285017329</v>
          </cell>
          <cell r="AD113">
            <v>22424.917577099601</v>
          </cell>
          <cell r="AE113">
            <v>23939.570952804221</v>
          </cell>
          <cell r="AF113">
            <v>25545.322882403809</v>
          </cell>
          <cell r="AG113">
            <v>27246.82315297387</v>
          </cell>
          <cell r="AH113">
            <v>29048.901153648949</v>
          </cell>
          <cell r="AI113">
            <v>30956.56896395349</v>
          </cell>
          <cell r="AJ113">
            <v>32975.024223139677</v>
          </cell>
          <cell r="AK113">
            <v>35109.652757682619</v>
          </cell>
          <cell r="AL113">
            <v>37366.030943331003</v>
          </cell>
          <cell r="AM113">
            <v>39749.927777399011</v>
          </cell>
          <cell r="AN113">
            <v>42267.306636314628</v>
          </cell>
          <cell r="AO113">
            <v>44930.349837474307</v>
          </cell>
          <cell r="AP113">
            <v>47761.177542914433</v>
          </cell>
        </row>
        <row r="114">
          <cell r="C114" t="str">
            <v>Великий Новгород - ВыползовоТариф Первый</v>
          </cell>
          <cell r="D114">
            <v>5887.5502345967197</v>
          </cell>
          <cell r="E114">
            <v>6407.6564223209934</v>
          </cell>
          <cell r="F114">
            <v>6797.6406171807057</v>
          </cell>
          <cell r="G114">
            <v>7211.3601159044974</v>
          </cell>
          <cell r="H114">
            <v>7650.2595017779031</v>
          </cell>
          <cell r="I114">
            <v>8115.8712786322003</v>
          </cell>
          <cell r="J114">
            <v>8609.8212218839963</v>
          </cell>
          <cell r="K114">
            <v>9133.8340552509708</v>
          </cell>
          <cell r="L114">
            <v>9917.7225410902265</v>
          </cell>
          <cell r="M114">
            <v>10710.433609827531</v>
          </cell>
          <cell r="N114">
            <v>11542.904422370721</v>
          </cell>
          <cell r="O114">
            <v>12415.66809960934</v>
          </cell>
          <cell r="P114">
            <v>13348.246157578869</v>
          </cell>
          <cell r="Q114">
            <v>14335.79028764392</v>
          </cell>
          <cell r="R114">
            <v>15391.313523371369</v>
          </cell>
          <cell r="S114">
            <v>16517.35040462606</v>
          </cell>
          <cell r="T114">
            <v>17718.036951237151</v>
          </cell>
          <cell r="U114">
            <v>18997.710485621072</v>
          </cell>
          <cell r="V114">
            <v>20360.914729142751</v>
          </cell>
          <cell r="W114">
            <v>21812.406394673071</v>
          </cell>
          <cell r="X114">
            <v>23357.161762952921</v>
          </cell>
          <cell r="Y114">
            <v>25000.38322310802</v>
          </cell>
          <cell r="Z114">
            <v>26747.505756339229</v>
          </cell>
          <cell r="AA114">
            <v>28604.20334047396</v>
          </cell>
          <cell r="AB114">
            <v>30576.39525171186</v>
          </cell>
          <cell r="AC114">
            <v>32670.252238536999</v>
          </cell>
          <cell r="AD114">
            <v>34892.202541403341</v>
          </cell>
          <cell r="AE114">
            <v>37248.937730435922</v>
          </cell>
          <cell r="AF114">
            <v>39747.418332034853</v>
          </cell>
          <cell r="AG114">
            <v>42394.879213925044</v>
          </cell>
          <cell r="AH114">
            <v>45198.834696872873</v>
          </cell>
          <cell r="AI114">
            <v>48167.083359995529</v>
          </cell>
          <cell r="AJ114">
            <v>51307.712505326563</v>
          </cell>
          <cell r="AK114">
            <v>54629.102246084964</v>
          </cell>
          <cell r="AL114">
            <v>58139.929181923842</v>
          </cell>
          <cell r="AM114">
            <v>61849.16962332702</v>
          </cell>
          <cell r="AN114">
            <v>65766.102326278386</v>
          </cell>
          <cell r="AO114">
            <v>69909.682450125125</v>
          </cell>
          <cell r="AP114">
            <v>74314.328010958794</v>
          </cell>
        </row>
        <row r="115">
          <cell r="C115" t="str">
            <v>Великий Новгород - СадваВеликий Новгород - Садва</v>
          </cell>
        </row>
        <row r="116">
          <cell r="C116" t="str">
            <v>Великий Новгород - СадваТариф Эконом</v>
          </cell>
          <cell r="D116">
            <v>1707.350312930369</v>
          </cell>
          <cell r="E116">
            <v>1853.6154950587249</v>
          </cell>
          <cell r="F116">
            <v>1966.430649114398</v>
          </cell>
          <cell r="G116">
            <v>2086.1119838955419</v>
          </cell>
          <cell r="H116">
            <v>2213.0773904040302</v>
          </cell>
          <cell r="I116">
            <v>2347.7701934158258</v>
          </cell>
          <cell r="J116">
            <v>2490.6606994369431</v>
          </cell>
          <cell r="K116">
            <v>2642.247838871428</v>
          </cell>
          <cell r="L116">
            <v>2869.0121576773099</v>
          </cell>
          <cell r="M116">
            <v>3098.3286851673702</v>
          </cell>
          <cell r="N116">
            <v>3339.1469649894411</v>
          </cell>
          <cell r="O116">
            <v>3591.621219073736</v>
          </cell>
          <cell r="P116">
            <v>3861.398657917428</v>
          </cell>
          <cell r="Q116">
            <v>4147.0767562571345</v>
          </cell>
          <cell r="R116">
            <v>4452.4199420002642</v>
          </cell>
          <cell r="S116">
            <v>4778.1614102585208</v>
          </cell>
          <cell r="T116">
            <v>5125.4976344283996</v>
          </cell>
          <cell r="U116">
            <v>5495.6833209904489</v>
          </cell>
          <cell r="V116">
            <v>5890.0328837914913</v>
          </cell>
          <cell r="W116">
            <v>6309.9223511485843</v>
          </cell>
          <cell r="X116">
            <v>6756.79126826844</v>
          </cell>
          <cell r="Y116">
            <v>7232.1445892964139</v>
          </cell>
          <cell r="Z116">
            <v>7737.5545529271667</v>
          </cell>
          <cell r="AA116">
            <v>8274.6625351219463</v>
          </cell>
          <cell r="AB116">
            <v>8845.1808720860681</v>
          </cell>
          <cell r="AC116">
            <v>9450.8946462665845</v>
          </cell>
          <cell r="AD116">
            <v>10093.66342773498</v>
          </cell>
          <cell r="AE116">
            <v>10775.42296292532</v>
          </cell>
          <cell r="AF116">
            <v>11498.18680230576</v>
          </cell>
          <cell r="AG116">
            <v>12264.04785817304</v>
          </cell>
          <cell r="AH116">
            <v>13075.179883376781</v>
          </cell>
          <cell r="AI116">
            <v>13933.838861405829</v>
          </cell>
          <cell r="AJ116">
            <v>14842.36429790387</v>
          </cell>
          <cell r="AK116">
            <v>15803.180403329319</v>
          </cell>
          <cell r="AL116">
            <v>16818.797156136301</v>
          </cell>
          <cell r="AM116">
            <v>17891.81123553243</v>
          </cell>
          <cell r="AN116">
            <v>19024.906812567599</v>
          </cell>
          <cell r="AO116">
            <v>20223.567261312059</v>
          </cell>
          <cell r="AP116">
            <v>21497.74907189759</v>
          </cell>
        </row>
        <row r="117">
          <cell r="C117" t="str">
            <v>Великий Новгород - СадваТариф Комфорт</v>
          </cell>
          <cell r="D117">
            <v>2345.8209993119981</v>
          </cell>
          <cell r="E117">
            <v>2546.1364111292401</v>
          </cell>
          <cell r="F117">
            <v>2701.0999255333991</v>
          </cell>
          <cell r="G117">
            <v>2865.4948634431971</v>
          </cell>
          <cell r="H117">
            <v>3039.8952422309471</v>
          </cell>
          <cell r="I117">
            <v>3224.9100152405608</v>
          </cell>
          <cell r="J117">
            <v>3421.185198068335</v>
          </cell>
          <cell r="K117">
            <v>3629.4061242539142</v>
          </cell>
          <cell r="L117">
            <v>3940.890836372319</v>
          </cell>
          <cell r="M117">
            <v>4255.881276338223</v>
          </cell>
          <cell r="N117">
            <v>4586.6705863947063</v>
          </cell>
          <cell r="O117">
            <v>4933.4706066310227</v>
          </cell>
          <cell r="P117">
            <v>5304.0383763611508</v>
          </cell>
          <cell r="Q117">
            <v>5696.4473791904284</v>
          </cell>
          <cell r="R117">
            <v>6115.8684539404276</v>
          </cell>
          <cell r="S117">
            <v>6563.3087214381767</v>
          </cell>
          <cell r="T117">
            <v>7040.4116641037799</v>
          </cell>
          <cell r="U117">
            <v>7548.9007536410072</v>
          </cell>
          <cell r="V117">
            <v>8090.5814761194397</v>
          </cell>
          <cell r="W117">
            <v>8667.3439515829359</v>
          </cell>
          <cell r="X117">
            <v>9281.1655472233597</v>
          </cell>
          <cell r="Y117">
            <v>9934.113476309476</v>
          </cell>
          <cell r="Z117">
            <v>10628.347374536041</v>
          </cell>
          <cell r="AA117">
            <v>11366.12184492638</v>
          </cell>
          <cell r="AB117">
            <v>12149.788961884329</v>
          </cell>
          <cell r="AC117">
            <v>12981.80072445037</v>
          </cell>
          <cell r="AD117">
            <v>13864.711448274469</v>
          </cell>
          <cell r="AE117">
            <v>14801.180085276061</v>
          </cell>
          <cell r="AF117">
            <v>15793.972459422561</v>
          </cell>
          <cell r="AG117">
            <v>16845.96340652445</v>
          </cell>
          <cell r="AH117">
            <v>17960.138805419039</v>
          </cell>
          <cell r="AI117">
            <v>19139.59748740073</v>
          </cell>
          <cell r="AJ117">
            <v>20387.553010253901</v>
          </cell>
          <cell r="AK117">
            <v>21707.335282761091</v>
          </cell>
          <cell r="AL117">
            <v>23102.392025094159</v>
          </cell>
          <cell r="AM117">
            <v>24576.290050055501</v>
          </cell>
          <cell r="AN117">
            <v>26132.716349721999</v>
          </cell>
          <cell r="AO117">
            <v>27779.202916792961</v>
          </cell>
          <cell r="AP117">
            <v>29529.426040724909</v>
          </cell>
        </row>
        <row r="118">
          <cell r="C118" t="str">
            <v>Великий Новгород - СадваТариф Бизнес</v>
          </cell>
          <cell r="D118">
            <v>5014.6123873057641</v>
          </cell>
          <cell r="E118">
            <v>5435.5319884361579</v>
          </cell>
          <cell r="F118">
            <v>5766.3505321333978</v>
          </cell>
          <cell r="G118">
            <v>6117.3034268172187</v>
          </cell>
          <cell r="H118">
            <v>6489.6160937869236</v>
          </cell>
          <cell r="I118">
            <v>6884.5885362025256</v>
          </cell>
          <cell r="J118">
            <v>7303.5998783023624</v>
          </cell>
          <cell r="K118">
            <v>7748.1131808875734</v>
          </cell>
          <cell r="L118">
            <v>8413.0756350702668</v>
          </cell>
          <cell r="M118">
            <v>9085.5221721067028</v>
          </cell>
          <cell r="N118">
            <v>9791.6963850772136</v>
          </cell>
          <cell r="O118">
            <v>10532.05051353051</v>
          </cell>
          <cell r="P118">
            <v>11323.14440679062</v>
          </cell>
          <cell r="Q118">
            <v>12160.865307409171</v>
          </cell>
          <cell r="R118">
            <v>13056.252003291969</v>
          </cell>
          <cell r="S118">
            <v>14011.45451179378</v>
          </cell>
          <cell r="T118">
            <v>15029.981364990061</v>
          </cell>
          <cell r="U118">
            <v>16115.511857334939</v>
          </cell>
          <cell r="V118">
            <v>17271.900368838498</v>
          </cell>
          <cell r="W118">
            <v>18503.18195744789</v>
          </cell>
          <cell r="X118">
            <v>19813.577937691822</v>
          </cell>
          <cell r="Y118">
            <v>21207.501428914598</v>
          </cell>
          <cell r="Z118">
            <v>22689.562855306751</v>
          </cell>
          <cell r="AA118">
            <v>24264.575378802951</v>
          </cell>
          <cell r="AB118">
            <v>25937.560244771419</v>
          </cell>
          <cell r="AC118">
            <v>27713.752019263611</v>
          </cell>
          <cell r="AD118">
            <v>29598.603695435511</v>
          </cell>
          <cell r="AE118">
            <v>31597.791645593989</v>
          </cell>
          <cell r="AF118">
            <v>33717.22039417208</v>
          </cell>
          <cell r="AG118">
            <v>35963.027185797007</v>
          </cell>
          <cell r="AH118">
            <v>38341.586321493203</v>
          </cell>
          <cell r="AI118">
            <v>40859.51323496399</v>
          </cell>
          <cell r="AJ118">
            <v>43523.66827982488</v>
          </cell>
          <cell r="AK118">
            <v>46341.160197629142</v>
          </cell>
          <cell r="AL118">
            <v>49319.349235533751</v>
          </cell>
          <cell r="AM118">
            <v>52465.849881513313</v>
          </cell>
          <cell r="AN118">
            <v>55788.533184144573</v>
          </cell>
          <cell r="AO118">
            <v>59303.47855970497</v>
          </cell>
          <cell r="AP118">
            <v>63039.8823656635</v>
          </cell>
        </row>
        <row r="119">
          <cell r="C119" t="str">
            <v>Великий Новгород - СадваТариф Первый</v>
          </cell>
          <cell r="D119">
            <v>7795.0366721698492</v>
          </cell>
          <cell r="E119">
            <v>8483.6502117893324</v>
          </cell>
          <cell r="F119">
            <v>8999.9839973823</v>
          </cell>
          <cell r="G119">
            <v>9547.7430034274657</v>
          </cell>
          <cell r="H119">
            <v>10128.839838605531</v>
          </cell>
          <cell r="I119">
            <v>10745.303517207511</v>
          </cell>
          <cell r="J119">
            <v>11399.286543838571</v>
          </cell>
          <cell r="K119">
            <v>12093.07242931271</v>
          </cell>
          <cell r="L119">
            <v>13130.930154602631</v>
          </cell>
          <cell r="M119">
            <v>14180.468860010469</v>
          </cell>
          <cell r="N119">
            <v>15282.648927053189</v>
          </cell>
          <cell r="O119">
            <v>16438.176200559141</v>
          </cell>
          <cell r="P119">
            <v>17672.89690303673</v>
          </cell>
          <cell r="Q119">
            <v>18980.391939598481</v>
          </cell>
          <cell r="R119">
            <v>20377.89039022299</v>
          </cell>
          <cell r="S119">
            <v>21868.74795132154</v>
          </cell>
          <cell r="T119">
            <v>23458.44065706123</v>
          </cell>
          <cell r="U119">
            <v>25152.711063504921</v>
          </cell>
          <cell r="V119">
            <v>26957.574996124411</v>
          </cell>
          <cell r="W119">
            <v>28879.330278257101</v>
          </cell>
          <cell r="X119">
            <v>30924.565438122791</v>
          </cell>
          <cell r="Y119">
            <v>33100.168368376653</v>
          </cell>
          <cell r="Z119">
            <v>35413.334910427293</v>
          </cell>
          <cell r="AA119">
            <v>37871.577333975933</v>
          </cell>
          <cell r="AB119">
            <v>40482.732680442241</v>
          </cell>
          <cell r="AC119">
            <v>43254.970937140359</v>
          </cell>
          <cell r="AD119">
            <v>46196.803007260853</v>
          </cell>
          <cell r="AE119">
            <v>49317.088438907871</v>
          </cell>
          <cell r="AF119">
            <v>52625.042874646562</v>
          </cell>
          <cell r="AG119">
            <v>56130.245181235929</v>
          </cell>
          <cell r="AH119">
            <v>59842.644217472291</v>
          </cell>
          <cell r="AI119">
            <v>63772.565196353768</v>
          </cell>
          <cell r="AJ119">
            <v>67930.715596104506</v>
          </cell>
          <cell r="AK119">
            <v>72328.190572987456</v>
          </cell>
          <cell r="AL119">
            <v>76976.477827283874</v>
          </cell>
          <cell r="AM119">
            <v>81887.46187235057</v>
          </cell>
          <cell r="AN119">
            <v>87073.427655285195</v>
          </cell>
          <cell r="AO119">
            <v>92559.471550020957</v>
          </cell>
          <cell r="AP119">
            <v>98391.162543135739</v>
          </cell>
        </row>
        <row r="120">
          <cell r="C120" t="str">
            <v>Новая Тверь - ЖаровскаяНовая Тверь - Жаровская</v>
          </cell>
        </row>
        <row r="121">
          <cell r="C121" t="str">
            <v>Новая Тверь - ЖаровскаяТариф Эконом</v>
          </cell>
          <cell r="D121">
            <v>2510.679715353981</v>
          </cell>
          <cell r="E121">
            <v>2725.7644715701449</v>
          </cell>
          <cell r="F121">
            <v>2891.6605485070299</v>
          </cell>
          <cell r="G121">
            <v>3067.6534289755868</v>
          </cell>
          <cell r="H121">
            <v>3254.357626853654</v>
          </cell>
          <cell r="I121">
            <v>3452.425056697899</v>
          </cell>
          <cell r="J121">
            <v>3662.5473100321601</v>
          </cell>
          <cell r="K121">
            <v>3885.458070175745</v>
          </cell>
          <cell r="L121">
            <v>4218.9178007771543</v>
          </cell>
          <cell r="M121">
            <v>4556.1305857600737</v>
          </cell>
          <cell r="N121">
            <v>4910.2568395562203</v>
          </cell>
          <cell r="O121">
            <v>5281.5233474181132</v>
          </cell>
          <cell r="P121">
            <v>5678.2344021064137</v>
          </cell>
          <cell r="Q121">
            <v>6098.3275729047218</v>
          </cell>
          <cell r="R121">
            <v>6547.3384975292474</v>
          </cell>
          <cell r="S121">
            <v>7026.3453484443116</v>
          </cell>
          <cell r="T121">
            <v>7537.1075545519961</v>
          </cell>
          <cell r="U121">
            <v>8081.4701772234603</v>
          </cell>
          <cell r="V121">
            <v>8661.3660782491734</v>
          </cell>
          <cell r="W121">
            <v>9278.8187242588119</v>
          </cell>
          <cell r="X121">
            <v>9935.944984252521</v>
          </cell>
          <cell r="Y121">
            <v>10634.9579118823</v>
          </cell>
          <cell r="Z121">
            <v>11378.169503560661</v>
          </cell>
          <cell r="AA121">
            <v>12167.99342290423</v>
          </cell>
          <cell r="AB121">
            <v>13006.94768144469</v>
          </cell>
          <cell r="AC121">
            <v>13897.65726496034</v>
          </cell>
          <cell r="AD121">
            <v>14842.856694200909</v>
          </cell>
          <cell r="AE121">
            <v>15845.39250819784</v>
          </cell>
          <cell r="AF121">
            <v>16908.225657775289</v>
          </cell>
          <cell r="AG121">
            <v>18034.433796306239</v>
          </cell>
          <cell r="AH121">
            <v>19227.213454194811</v>
          </cell>
          <cell r="AI121">
            <v>20489.88208301536</v>
          </cell>
          <cell r="AJ121">
            <v>21825.879954702152</v>
          </cell>
          <cell r="AK121">
            <v>23238.771900665361</v>
          </cell>
          <cell r="AL121">
            <v>24732.248875211801</v>
          </cell>
          <cell r="AM121">
            <v>26310.129327176761</v>
          </cell>
          <cell r="AN121">
            <v>27976.360363229829</v>
          </cell>
          <cell r="AO121">
            <v>29739.00535264306</v>
          </cell>
          <cell r="AP121">
            <v>31612.705437085289</v>
          </cell>
        </row>
        <row r="122">
          <cell r="C122" t="str">
            <v>Новая Тверь - ЖаровскаяТариф Комфорт</v>
          </cell>
          <cell r="D122">
            <v>3451.2989320043221</v>
          </cell>
          <cell r="E122">
            <v>3746.013817356451</v>
          </cell>
          <cell r="F122">
            <v>3974.004534431439</v>
          </cell>
          <cell r="G122">
            <v>4215.8712726870044</v>
          </cell>
          <cell r="H122">
            <v>4472.4585575769606</v>
          </cell>
          <cell r="I122">
            <v>4744.6623142490944</v>
          </cell>
          <cell r="J122">
            <v>5033.4329958446306</v>
          </cell>
          <cell r="K122">
            <v>5339.7789021929884</v>
          </cell>
          <cell r="L122">
            <v>5798.0520844115863</v>
          </cell>
          <cell r="M122">
            <v>6261.4830833517171</v>
          </cell>
          <cell r="N122">
            <v>6748.1582358255091</v>
          </cell>
          <cell r="O122">
            <v>7258.3892124480708</v>
          </cell>
          <cell r="P122">
            <v>7803.5885896724694</v>
          </cell>
          <cell r="Q122">
            <v>8380.9219722156267</v>
          </cell>
          <cell r="R122">
            <v>8997.9969782665266</v>
          </cell>
          <cell r="S122">
            <v>9656.2953385436394</v>
          </cell>
          <cell r="T122">
            <v>10358.235033414159</v>
          </cell>
          <cell r="U122">
            <v>11106.351727812569</v>
          </cell>
          <cell r="V122">
            <v>11903.30175065125</v>
          </cell>
          <cell r="W122">
            <v>12751.86594893029</v>
          </cell>
          <cell r="X122">
            <v>13654.953532380319</v>
          </cell>
          <cell r="Y122">
            <v>14615.605897147399</v>
          </cell>
          <cell r="Z122">
            <v>15637.000416257441</v>
          </cell>
          <cell r="AA122">
            <v>16722.454183814742</v>
          </cell>
          <cell r="AB122">
            <v>17875.427699098778</v>
          </cell>
          <cell r="AC122">
            <v>19099.528475927611</v>
          </cell>
          <cell r="AD122">
            <v>20398.514561857872</v>
          </cell>
          <cell r="AE122">
            <v>21776.29795099414</v>
          </cell>
          <cell r="AF122">
            <v>23236.94787338754</v>
          </cell>
          <cell r="AG122">
            <v>24784.693943218019</v>
          </cell>
          <cell r="AH122">
            <v>26423.92914718208</v>
          </cell>
          <cell r="AI122">
            <v>28159.212653749939</v>
          </cell>
          <cell r="AJ122">
            <v>29995.272423218819</v>
          </cell>
          <cell r="AK122">
            <v>31937.00759777741</v>
          </cell>
          <cell r="AL122">
            <v>33989.490650112457</v>
          </cell>
          <cell r="AM122">
            <v>36157.969268440233</v>
          </cell>
          <cell r="AN122">
            <v>38447.867955235983</v>
          </cell>
          <cell r="AO122">
            <v>40870.268186182017</v>
          </cell>
          <cell r="AP122">
            <v>43445.29125919877</v>
          </cell>
        </row>
        <row r="123">
          <cell r="C123" t="str">
            <v>Новая Тверь - ЖаровскаяТариф Бизнес</v>
          </cell>
          <cell r="D123">
            <v>7376.2544587439615</v>
          </cell>
          <cell r="E123">
            <v>7995.4070162717326</v>
          </cell>
          <cell r="F123">
            <v>8482.0252370856069</v>
          </cell>
          <cell r="G123">
            <v>8998.2601231106655</v>
          </cell>
          <cell r="H123">
            <v>9545.9142103406557</v>
          </cell>
          <cell r="I123">
            <v>10126.89974111154</v>
          </cell>
          <cell r="J123">
            <v>10743.24534107301</v>
          </cell>
          <cell r="K123">
            <v>11397.10310253537</v>
          </cell>
          <cell r="L123">
            <v>12375.23099931539</v>
          </cell>
          <cell r="M123">
            <v>13364.36762324235</v>
          </cell>
          <cell r="N123">
            <v>14403.116041816011</v>
          </cell>
          <cell r="O123">
            <v>15492.141477735549</v>
          </cell>
          <cell r="P123">
            <v>16655.802675601371</v>
          </cell>
          <cell r="Q123">
            <v>17888.049966341729</v>
          </cell>
          <cell r="R123">
            <v>19205.120877849211</v>
          </cell>
          <cell r="S123">
            <v>20610.177982596932</v>
          </cell>
          <cell r="T123">
            <v>22108.382163095121</v>
          </cell>
          <cell r="U123">
            <v>23705.145485127981</v>
          </cell>
          <cell r="V123">
            <v>25406.13755694019</v>
          </cell>
          <cell r="W123">
            <v>27217.293755361548</v>
          </cell>
          <cell r="X123">
            <v>29144.823431725559</v>
          </cell>
          <cell r="Y123">
            <v>31195.218073055799</v>
          </cell>
          <cell r="Z123">
            <v>33375.259392347303</v>
          </cell>
          <cell r="AA123">
            <v>35692.027320099012</v>
          </cell>
          <cell r="AB123">
            <v>38152.907867566653</v>
          </cell>
          <cell r="AC123">
            <v>40765.600830506031</v>
          </cell>
          <cell r="AD123">
            <v>43538.127300473912</v>
          </cell>
          <cell r="AE123">
            <v>46478.836949050878</v>
          </cell>
          <cell r="AF123">
            <v>49596.415048659248</v>
          </cell>
          <cell r="AG123">
            <v>52899.889191972092</v>
          </cell>
          <cell r="AH123">
            <v>56398.635670260039</v>
          </cell>
          <cell r="AI123">
            <v>60102.385469406363</v>
          </cell>
          <cell r="AJ123">
            <v>64021.229840745429</v>
          </cell>
          <cell r="AK123">
            <v>68165.625402362261</v>
          </cell>
          <cell r="AL123">
            <v>72546.39872502959</v>
          </cell>
          <cell r="AM123">
            <v>77174.750355576529</v>
          </cell>
          <cell r="AN123">
            <v>82062.258229180297</v>
          </cell>
          <cell r="AO123">
            <v>87232.574396458163</v>
          </cell>
          <cell r="AP123">
            <v>92728.645299792173</v>
          </cell>
        </row>
        <row r="124">
          <cell r="C124" t="str">
            <v>Новая Тверь - ЖаровскаяТариф Первый</v>
          </cell>
          <cell r="D124">
            <v>11637.15837444285</v>
          </cell>
          <cell r="E124">
            <v>12665.18494524113</v>
          </cell>
          <cell r="F124">
            <v>13436.01621771908</v>
          </cell>
          <cell r="G124">
            <v>14253.76199268548</v>
          </cell>
          <cell r="H124">
            <v>15121.277590911939</v>
          </cell>
          <cell r="I124">
            <v>16041.59211433109</v>
          </cell>
          <cell r="J124">
            <v>17017.919022743779</v>
          </cell>
          <cell r="K124">
            <v>18053.667354248199</v>
          </cell>
          <cell r="L124">
            <v>19603.078245727149</v>
          </cell>
          <cell r="M124">
            <v>21169.927594691009</v>
          </cell>
          <cell r="N124">
            <v>22815.364882128411</v>
          </cell>
          <cell r="O124">
            <v>24540.443859086408</v>
          </cell>
          <cell r="P124">
            <v>26383.750179149611</v>
          </cell>
          <cell r="Q124">
            <v>28335.70081827747</v>
          </cell>
          <cell r="R124">
            <v>30422.016955316099</v>
          </cell>
          <cell r="S124">
            <v>32647.708287106849</v>
          </cell>
          <cell r="T124">
            <v>35020.949948616537</v>
          </cell>
          <cell r="U124">
            <v>37550.31496357658</v>
          </cell>
          <cell r="V124">
            <v>40244.784317800433</v>
          </cell>
          <cell r="W124">
            <v>43113.759989838538</v>
          </cell>
          <cell r="X124">
            <v>46167.077949625716</v>
          </cell>
          <cell r="Y124">
            <v>49415.021086270208</v>
          </cell>
          <cell r="Z124">
            <v>52868.332023524919</v>
          </cell>
          <cell r="AA124">
            <v>56538.225778835069</v>
          </cell>
          <cell r="AB124">
            <v>60436.402219183117</v>
          </cell>
          <cell r="AC124">
            <v>64575.058264261752</v>
          </cell>
          <cell r="AD124">
            <v>68966.899784806854</v>
          </cell>
          <cell r="AE124">
            <v>73625.153141225688</v>
          </cell>
          <cell r="AF124">
            <v>78563.576304976668</v>
          </cell>
          <cell r="AG124">
            <v>83796.46950250004</v>
          </cell>
          <cell r="AH124">
            <v>89338.685318886419</v>
          </cell>
          <cell r="AI124">
            <v>95205.638195909749</v>
          </cell>
          <cell r="AJ124">
            <v>101413.3132565561</v>
          </cell>
          <cell r="AK124">
            <v>107978.2743857756</v>
          </cell>
          <cell r="AL124">
            <v>114917.67149487149</v>
          </cell>
          <cell r="AM124">
            <v>122249.24689474639</v>
          </cell>
          <cell r="AN124">
            <v>129991.34070117011</v>
          </cell>
          <cell r="AO124">
            <v>138181.4191237792</v>
          </cell>
          <cell r="AP124">
            <v>146887.51179938909</v>
          </cell>
        </row>
        <row r="125">
          <cell r="C125" t="str">
            <v>Великий Новгород - ВысоковоВеликий Новгород - Высоково</v>
          </cell>
        </row>
        <row r="126">
          <cell r="C126" t="str">
            <v>Великий Новгород - ВысоковоТариф Эконом</v>
          </cell>
          <cell r="D126">
            <v>2606.4557919896429</v>
          </cell>
          <cell r="E126">
            <v>2829.7454872781</v>
          </cell>
          <cell r="F126">
            <v>3001.9700796688262</v>
          </cell>
          <cell r="G126">
            <v>3184.6766430910488</v>
          </cell>
          <cell r="H126">
            <v>3378.503133571719</v>
          </cell>
          <cell r="I126">
            <v>3584.12633455785</v>
          </cell>
          <cell r="J126">
            <v>3802.2642200395039</v>
          </cell>
          <cell r="K126">
            <v>4033.6784614976768</v>
          </cell>
          <cell r="L126">
            <v>4379.8588368383071</v>
          </cell>
          <cell r="M126">
            <v>4729.9354360861589</v>
          </cell>
          <cell r="N126">
            <v>5097.5707101746448</v>
          </cell>
          <cell r="O126">
            <v>5483.0000956396743</v>
          </cell>
          <cell r="P126">
            <v>5894.8446729926454</v>
          </cell>
          <cell r="Q126">
            <v>6330.9633350053218</v>
          </cell>
          <cell r="R126">
            <v>6797.1028899621406</v>
          </cell>
          <cell r="S126">
            <v>7294.3826398780966</v>
          </cell>
          <cell r="T126">
            <v>7824.6291314147857</v>
          </cell>
          <cell r="U126">
            <v>8389.7578103648466</v>
          </cell>
          <cell r="V126">
            <v>8991.7752723040012</v>
          </cell>
          <cell r="W126">
            <v>9632.7821739924748</v>
          </cell>
          <cell r="X126">
            <v>10314.97613762499</v>
          </cell>
          <cell r="Y126">
            <v>11040.654639249169</v>
          </cell>
          <cell r="Z126">
            <v>11812.21787208899</v>
          </cell>
          <cell r="AA126">
            <v>12632.17157491913</v>
          </cell>
          <cell r="AB126">
            <v>13503.129815038121</v>
          </cell>
          <cell r="AC126">
            <v>14427.8177147879</v>
          </cell>
          <cell r="AD126">
            <v>15409.074109963751</v>
          </cell>
          <cell r="AE126">
            <v>16449.854127856612</v>
          </cell>
          <cell r="AF126">
            <v>17553.231672070429</v>
          </cell>
          <cell r="AG126">
            <v>18722.40180066488</v>
          </cell>
          <cell r="AH126">
            <v>19960.682983588591</v>
          </cell>
          <cell r="AI126">
            <v>21271.519224797041</v>
          </cell>
          <cell r="AJ126">
            <v>22658.48203389152</v>
          </cell>
          <cell r="AK126">
            <v>24125.272231577928</v>
          </cell>
          <cell r="AL126">
            <v>25675.721572728129</v>
          </cell>
          <cell r="AM126">
            <v>27313.794170336008</v>
          </cell>
          <cell r="AN126">
            <v>29043.587703200519</v>
          </cell>
          <cell r="AO126">
            <v>30873.473137723129</v>
          </cell>
          <cell r="AP126">
            <v>32818.65013807077</v>
          </cell>
        </row>
        <row r="127">
          <cell r="C127" t="str">
            <v>Великий Новгород - ВысоковоТариф Комфорт</v>
          </cell>
          <cell r="D127">
            <v>3582.2773282223179</v>
          </cell>
          <cell r="E127">
            <v>3888.1767802507911</v>
          </cell>
          <cell r="F127">
            <v>4124.819850849306</v>
          </cell>
          <cell r="G127">
            <v>4375.8655440720649</v>
          </cell>
          <cell r="H127">
            <v>4642.1904355057986</v>
          </cell>
          <cell r="I127">
            <v>4924.7244510734499</v>
          </cell>
          <cell r="J127">
            <v>5224.4541140540623</v>
          </cell>
          <cell r="K127">
            <v>5542.4259897235261</v>
          </cell>
          <cell r="L127">
            <v>6018.0908518919841</v>
          </cell>
          <cell r="M127">
            <v>6499.1092723203001</v>
          </cell>
          <cell r="N127">
            <v>7004.2539726964951</v>
          </cell>
          <cell r="O127">
            <v>7533.8484516801673</v>
          </cell>
          <cell r="P127">
            <v>8099.738398297357</v>
          </cell>
          <cell r="Q127">
            <v>8698.9818506485499</v>
          </cell>
          <cell r="R127">
            <v>9339.4751395636995</v>
          </cell>
          <cell r="S127">
            <v>10022.756228129711</v>
          </cell>
          <cell r="T127">
            <v>10751.3348601909</v>
          </cell>
          <cell r="U127">
            <v>11527.84293034282</v>
          </cell>
          <cell r="V127">
            <v>12355.037576412869</v>
          </cell>
          <cell r="W127">
            <v>13235.805179835401</v>
          </cell>
          <cell r="X127">
            <v>14173.16535620045</v>
          </cell>
          <cell r="Y127">
            <v>15170.27492404937</v>
          </cell>
          <cell r="Z127">
            <v>16230.431839189019</v>
          </cell>
          <cell r="AA127">
            <v>17357.0790809844</v>
          </cell>
          <cell r="AB127">
            <v>18553.80847626867</v>
          </cell>
          <cell r="AC127">
            <v>19824.364445683539</v>
          </cell>
          <cell r="AD127">
            <v>21172.647656434521</v>
          </cell>
          <cell r="AE127">
            <v>22602.718564618019</v>
          </cell>
          <cell r="AF127">
            <v>24118.800829454129</v>
          </cell>
          <cell r="AG127">
            <v>25725.284580943899</v>
          </cell>
          <cell r="AH127">
            <v>27426.729521667741</v>
          </cell>
          <cell r="AI127">
            <v>29227.867842655229</v>
          </cell>
          <cell r="AJ127">
            <v>31133.6069324911</v>
          </cell>
          <cell r="AK127">
            <v>33149.031858083828</v>
          </cell>
          <cell r="AL127">
            <v>35279.407594812743</v>
          </cell>
          <cell r="AM127">
            <v>37530.180983097343</v>
          </cell>
          <cell r="AN127">
            <v>39906.982387799369</v>
          </cell>
          <cell r="AO127">
            <v>42421.313831746178</v>
          </cell>
          <cell r="AP127">
            <v>45094.060225452573</v>
          </cell>
        </row>
        <row r="128">
          <cell r="C128" t="str">
            <v>Великий Новгород - ВысоковоТариф Бизнес</v>
          </cell>
          <cell r="D128">
            <v>7656.7783531061123</v>
          </cell>
          <cell r="E128">
            <v>8299.477696826445</v>
          </cell>
          <cell r="F128">
            <v>8804.6023342957906</v>
          </cell>
          <cell r="G128">
            <v>9340.4699785782159</v>
          </cell>
          <cell r="H128">
            <v>9908.9517173178392</v>
          </cell>
          <cell r="I128">
            <v>10512.03251670662</v>
          </cell>
          <cell r="J128">
            <v>11151.818152385569</v>
          </cell>
          <cell r="K128">
            <v>11830.542562176061</v>
          </cell>
          <cell r="L128">
            <v>12845.869317580549</v>
          </cell>
          <cell r="M128">
            <v>13872.623469394081</v>
          </cell>
          <cell r="N128">
            <v>14950.87618561238</v>
          </cell>
          <cell r="O128">
            <v>16081.317987799141</v>
          </cell>
          <cell r="P128">
            <v>17289.233999916451</v>
          </cell>
          <cell r="Q128">
            <v>18568.344479928419</v>
          </cell>
          <cell r="R128">
            <v>19935.504479781979</v>
          </cell>
          <cell r="S128">
            <v>21393.996846698268</v>
          </cell>
          <cell r="T128">
            <v>22949.17873500381</v>
          </cell>
          <cell r="U128">
            <v>24606.668034967151</v>
          </cell>
          <cell r="V128">
            <v>26372.34997382947</v>
          </cell>
          <cell r="W128">
            <v>28252.385654774251</v>
          </cell>
          <cell r="X128">
            <v>30253.220574922419</v>
          </cell>
          <cell r="Y128">
            <v>32381.593096894161</v>
          </cell>
          <cell r="Z128">
            <v>34644.542846769029</v>
          </cell>
          <cell r="AA128">
            <v>37049.419009541809</v>
          </cell>
          <cell r="AB128">
            <v>39603.888491420097</v>
          </cell>
          <cell r="AC128">
            <v>42315.943916546174</v>
          </cell>
          <cell r="AD128">
            <v>45193.911423957587</v>
          </cell>
          <cell r="AE128">
            <v>48246.458228834017</v>
          </cell>
          <cell r="AF128">
            <v>51482.599910321493</v>
          </cell>
          <cell r="AG128">
            <v>54911.707386485017</v>
          </cell>
          <cell r="AH128">
            <v>58543.513535228311</v>
          </cell>
          <cell r="AI128">
            <v>62388.119418341194</v>
          </cell>
          <cell r="AJ128">
            <v>66456.000064200867</v>
          </cell>
          <cell r="AK128">
            <v>70758.009763077265</v>
          </cell>
          <cell r="AL128">
            <v>75305.386827476381</v>
          </cell>
          <cell r="AM128">
            <v>80109.7577685203</v>
          </cell>
          <cell r="AN128">
            <v>85183.140838010746</v>
          </cell>
          <cell r="AO128">
            <v>90550.087589881456</v>
          </cell>
          <cell r="AP128">
            <v>96255.17774846447</v>
          </cell>
        </row>
        <row r="129">
          <cell r="C129" t="str">
            <v>Великий Новгород - ВысоковоТариф Первый</v>
          </cell>
          <cell r="D129">
            <v>12012.9216202151</v>
          </cell>
          <cell r="E129">
            <v>13074.1431161449</v>
          </cell>
          <cell r="F129">
            <v>13869.8644907912</v>
          </cell>
          <cell r="G129">
            <v>14714.01523479993</v>
          </cell>
          <cell r="H129">
            <v>15609.54286710367</v>
          </cell>
          <cell r="I129">
            <v>16559.574299180771</v>
          </cell>
          <cell r="J129">
            <v>17567.42675328386</v>
          </cell>
          <cell r="K129">
            <v>18636.61934517611</v>
          </cell>
          <cell r="L129">
            <v>20236.060634702721</v>
          </cell>
          <cell r="M129">
            <v>21853.503468610099</v>
          </cell>
          <cell r="N129">
            <v>23552.071841485002</v>
          </cell>
          <cell r="O129">
            <v>25332.8535299416</v>
          </cell>
          <cell r="P129">
            <v>27235.680116335509</v>
          </cell>
          <cell r="Q129">
            <v>29250.659141272459</v>
          </cell>
          <cell r="R129">
            <v>31404.342319141469</v>
          </cell>
          <cell r="S129">
            <v>33701.901109637387</v>
          </cell>
          <cell r="T129">
            <v>36151.774622414952</v>
          </cell>
          <cell r="U129">
            <v>38762.812703701173</v>
          </cell>
          <cell r="V129">
            <v>41544.286334879827</v>
          </cell>
          <cell r="W129">
            <v>44505.901083905519</v>
          </cell>
          <cell r="X129">
            <v>47657.810523676693</v>
          </cell>
          <cell r="Y129">
            <v>51010.629577262327</v>
          </cell>
          <cell r="Z129">
            <v>54575.447747184211</v>
          </cell>
          <cell r="AA129">
            <v>58363.842183224391</v>
          </cell>
          <cell r="AB129">
            <v>62387.890540468848</v>
          </cell>
          <cell r="AC129">
            <v>66660.183576520212</v>
          </cell>
          <cell r="AD129">
            <v>71193.837434027373</v>
          </cell>
          <cell r="AE129">
            <v>76002.50555189533</v>
          </cell>
          <cell r="AF129">
            <v>81100.390145773723</v>
          </cell>
          <cell r="AG129">
            <v>86502.253195679557</v>
          </cell>
          <cell r="AH129">
            <v>92223.426875912599</v>
          </cell>
          <cell r="AI129">
            <v>98279.823359779402</v>
          </cell>
          <cell r="AJ129">
            <v>104687.9439290656</v>
          </cell>
          <cell r="AK129">
            <v>111464.8873157151</v>
          </cell>
          <cell r="AL129">
            <v>118628.3572007855</v>
          </cell>
          <cell r="AM129">
            <v>126196.6687934865</v>
          </cell>
          <cell r="AN129">
            <v>134188.75441098359</v>
          </cell>
          <cell r="AO129">
            <v>142643.29004489689</v>
          </cell>
          <cell r="AP129">
            <v>151630.5020055176</v>
          </cell>
        </row>
        <row r="130">
          <cell r="C130" t="str">
            <v>Москва - ВысоковоМосква - Высоково</v>
          </cell>
        </row>
        <row r="131">
          <cell r="C131" t="str">
            <v>Москва - ВысоковоТариф Эконом</v>
          </cell>
          <cell r="D131">
            <v>430.8473985304845</v>
          </cell>
          <cell r="E131">
            <v>467.75720710247612</v>
          </cell>
          <cell r="F131">
            <v>496.22594914773242</v>
          </cell>
          <cell r="G131">
            <v>526.42736203447066</v>
          </cell>
          <cell r="H131">
            <v>558.46689995663246</v>
          </cell>
          <cell r="I131">
            <v>592.45643528451103</v>
          </cell>
          <cell r="J131">
            <v>628.51464918921283</v>
          </cell>
          <cell r="K131">
            <v>666.76744604138946</v>
          </cell>
          <cell r="L131">
            <v>723.99109610144387</v>
          </cell>
          <cell r="M131">
            <v>781.85879235621132</v>
          </cell>
          <cell r="N131">
            <v>842.62893928747951</v>
          </cell>
          <cell r="O131">
            <v>906.34045457776881</v>
          </cell>
          <cell r="P131">
            <v>974.41840368273483</v>
          </cell>
          <cell r="Q131">
            <v>1046.508861367161</v>
          </cell>
          <cell r="R131">
            <v>1123.5617756051561</v>
          </cell>
          <cell r="S131">
            <v>1205.7621671297829</v>
          </cell>
          <cell r="T131">
            <v>1293.411964283682</v>
          </cell>
          <cell r="U131">
            <v>1386.8277904445929</v>
          </cell>
          <cell r="V131">
            <v>1486.3413360583529</v>
          </cell>
          <cell r="W131">
            <v>1592.299839893841</v>
          </cell>
          <cell r="X131">
            <v>1705.0665691157869</v>
          </cell>
          <cell r="Y131">
            <v>1825.021296740616</v>
          </cell>
          <cell r="Z131">
            <v>1952.560774944101</v>
          </cell>
          <cell r="AA131">
            <v>2088.0992025919109</v>
          </cell>
          <cell r="AB131">
            <v>2232.0686852653571</v>
          </cell>
          <cell r="AC131">
            <v>2384.9196859553358</v>
          </cell>
          <cell r="AD131">
            <v>2547.1214644977581</v>
          </cell>
          <cell r="AE131">
            <v>2719.1625037241888</v>
          </cell>
          <cell r="AF131">
            <v>2901.5509202024109</v>
          </cell>
          <cell r="AG131">
            <v>3094.814857343637</v>
          </cell>
          <cell r="AH131">
            <v>3299.5028585564542</v>
          </cell>
          <cell r="AI131">
            <v>3516.1842180331191</v>
          </cell>
          <cell r="AJ131">
            <v>3745.4493066616628</v>
          </cell>
          <cell r="AK131">
            <v>3987.9098704684238</v>
          </cell>
          <cell r="AL131">
            <v>4244.1992989102318</v>
          </cell>
          <cell r="AM131">
            <v>4514.9728602544992</v>
          </cell>
          <cell r="AN131">
            <v>4800.9079012093362</v>
          </cell>
          <cell r="AO131">
            <v>5103.3881433434508</v>
          </cell>
          <cell r="AP131">
            <v>5424.926092637179</v>
          </cell>
        </row>
        <row r="132">
          <cell r="C132" t="str">
            <v>Москва - ВысоковоТариф Комфорт</v>
          </cell>
          <cell r="D132">
            <v>692.64712869677021</v>
          </cell>
          <cell r="E132">
            <v>751.79396678442356</v>
          </cell>
          <cell r="F132">
            <v>797.54981658552981</v>
          </cell>
          <cell r="G132">
            <v>846.09046898351824</v>
          </cell>
          <cell r="H132">
            <v>897.58541324669636</v>
          </cell>
          <cell r="I132">
            <v>952.21445413650792</v>
          </cell>
          <cell r="J132">
            <v>1010.168339731344</v>
          </cell>
          <cell r="K132">
            <v>1071.649427461108</v>
          </cell>
          <cell r="L132">
            <v>1163.6210619315259</v>
          </cell>
          <cell r="M132">
            <v>1256.627827525876</v>
          </cell>
          <cell r="N132">
            <v>1354.2995023388339</v>
          </cell>
          <cell r="O132">
            <v>1456.698636083104</v>
          </cell>
          <cell r="P132">
            <v>1566.115638389085</v>
          </cell>
          <cell r="Q132">
            <v>1681.9816695842089</v>
          </cell>
          <cell r="R132">
            <v>1805.8235156695259</v>
          </cell>
          <cell r="S132">
            <v>1937.9385477357091</v>
          </cell>
          <cell r="T132">
            <v>2078.8120344284412</v>
          </cell>
          <cell r="U132">
            <v>2228.952862711968</v>
          </cell>
          <cell r="V132">
            <v>2388.8941358121401</v>
          </cell>
          <cell r="W132">
            <v>2559.1939467043599</v>
          </cell>
          <cell r="X132">
            <v>2740.4361497015648</v>
          </cell>
          <cell r="Y132">
            <v>2933.2311278361472</v>
          </cell>
          <cell r="Z132">
            <v>3138.216553574779</v>
          </cell>
          <cell r="AA132">
            <v>3356.0581402480698</v>
          </cell>
          <cell r="AB132">
            <v>3587.4503814183031</v>
          </cell>
          <cell r="AC132">
            <v>3833.1172752487892</v>
          </cell>
          <cell r="AD132">
            <v>4093.8130307781812</v>
          </cell>
          <cell r="AE132">
            <v>4370.3227528430634</v>
          </cell>
          <cell r="AF132">
            <v>4663.4631022330241</v>
          </cell>
          <cell r="AG132">
            <v>4974.0829275047854</v>
          </cell>
          <cell r="AH132">
            <v>5303.0638647268725</v>
          </cell>
          <cell r="AI132">
            <v>5651.3209012742891</v>
          </cell>
          <cell r="AJ132">
            <v>6019.8028996446001</v>
          </cell>
          <cell r="AK132">
            <v>6409.4930771240888</v>
          </cell>
          <cell r="AL132">
            <v>6821.4094369953091</v>
          </cell>
          <cell r="AM132">
            <v>7256.6051468473097</v>
          </cell>
          <cell r="AN132">
            <v>7716.168859427391</v>
          </cell>
          <cell r="AO132">
            <v>8202.3245351818405</v>
          </cell>
          <cell r="AP132">
            <v>8719.1103520560628</v>
          </cell>
        </row>
        <row r="133">
          <cell r="C133" t="str">
            <v>Москва - ВысоковоТариф Бизнес</v>
          </cell>
          <cell r="D133">
            <v>1879.512112598424</v>
          </cell>
          <cell r="E133">
            <v>2037.2757496758099</v>
          </cell>
          <cell r="F133">
            <v>2161.268874553245</v>
          </cell>
          <cell r="G133">
            <v>2292.8084962754569</v>
          </cell>
          <cell r="H133">
            <v>2432.353911393644</v>
          </cell>
          <cell r="I133">
            <v>2580.3923702667448</v>
          </cell>
          <cell r="J133">
            <v>2737.4407783922411</v>
          </cell>
          <cell r="K133">
            <v>2904.047501283721</v>
          </cell>
          <cell r="L133">
            <v>3153.280121979064</v>
          </cell>
          <cell r="M133">
            <v>3405.3178297457239</v>
          </cell>
          <cell r="N133">
            <v>3669.996908480231</v>
          </cell>
          <cell r="O133">
            <v>3947.4868607570511</v>
          </cell>
          <cell r="P133">
            <v>4243.9944349713523</v>
          </cell>
          <cell r="Q133">
            <v>4557.9781406063503</v>
          </cell>
          <cell r="R133">
            <v>4893.5753932736452</v>
          </cell>
          <cell r="S133">
            <v>5251.5920346512121</v>
          </cell>
          <cell r="T133">
            <v>5633.3430873218422</v>
          </cell>
          <cell r="U133">
            <v>6040.2075768129889</v>
          </cell>
          <cell r="V133">
            <v>6473.630151954103</v>
          </cell>
          <cell r="W133">
            <v>6935.1231809405681</v>
          </cell>
          <cell r="X133">
            <v>7426.268842249</v>
          </cell>
          <cell r="Y133">
            <v>7948.7212041545463</v>
          </cell>
          <cell r="Z133">
            <v>8504.2082861811505</v>
          </cell>
          <cell r="AA133">
            <v>9094.534095390065</v>
          </cell>
          <cell r="AB133">
            <v>9721.5806299819415</v>
          </cell>
          <cell r="AC133">
            <v>10387.30984225499</v>
          </cell>
          <cell r="AD133">
            <v>11093.76555252773</v>
          </cell>
          <cell r="AE133">
            <v>11843.075305200849</v>
          </cell>
          <cell r="AF133">
            <v>12637.452157702121</v>
          </cell>
          <cell r="AG133">
            <v>13479.19639263046</v>
          </cell>
          <cell r="AH133">
            <v>14370.697142995439</v>
          </cell>
          <cell r="AI133">
            <v>15314.43392003647</v>
          </cell>
          <cell r="AJ133">
            <v>16312.978032704479</v>
          </cell>
          <cell r="AK133">
            <v>17368.99388750246</v>
          </cell>
          <cell r="AL133">
            <v>18485.240157008651</v>
          </cell>
          <cell r="AM133">
            <v>19664.570805053962</v>
          </cell>
          <cell r="AN133">
            <v>20909.93595619364</v>
          </cell>
          <cell r="AO133">
            <v>22227.362289126431</v>
          </cell>
          <cell r="AP133">
            <v>23627.792804680401</v>
          </cell>
        </row>
        <row r="134">
          <cell r="C134" t="str">
            <v>Санкт-Петербург - ЖаровскаяСанкт-Петербург - Жаровская</v>
          </cell>
        </row>
        <row r="135">
          <cell r="C135" t="str">
            <v>Санкт-Петербург - ЖаровскаяТариф Эконом (с учетом абонементов)</v>
          </cell>
          <cell r="D135">
            <v>429.419587072318</v>
          </cell>
          <cell r="E135">
            <v>466.20707797968498</v>
          </cell>
          <cell r="F135">
            <v>494.58147572524172</v>
          </cell>
          <cell r="G135">
            <v>524.6828023087561</v>
          </cell>
          <cell r="H135">
            <v>556.61616245308835</v>
          </cell>
          <cell r="I135">
            <v>590.4930577878639</v>
          </cell>
          <cell r="J135">
            <v>626.43177617942172</v>
          </cell>
          <cell r="K135">
            <v>664.55780475624442</v>
          </cell>
          <cell r="L135">
            <v>721.59181787404839</v>
          </cell>
          <cell r="M135">
            <v>779.26774284262024</v>
          </cell>
          <cell r="N135">
            <v>839.83649987946444</v>
          </cell>
          <cell r="O135">
            <v>903.33687769542075</v>
          </cell>
          <cell r="P135">
            <v>971.18921913486042</v>
          </cell>
          <cell r="Q135">
            <v>1043.0407718569791</v>
          </cell>
          <cell r="R135">
            <v>1119.8383357453849</v>
          </cell>
          <cell r="S135">
            <v>1201.766318381656</v>
          </cell>
          <cell r="T135">
            <v>1289.125647529693</v>
          </cell>
          <cell r="U135">
            <v>1382.231897289721</v>
          </cell>
          <cell r="V135">
            <v>1481.415658898391</v>
          </cell>
          <cell r="W135">
            <v>1587.023020388857</v>
          </cell>
          <cell r="X135">
            <v>1699.416045072649</v>
          </cell>
          <cell r="Y135">
            <v>1818.97324741324</v>
          </cell>
          <cell r="Z135">
            <v>1946.0900647651829</v>
          </cell>
          <cell r="AA135">
            <v>2081.1793233552771</v>
          </cell>
          <cell r="AB135">
            <v>2224.6716967838051</v>
          </cell>
          <cell r="AC135">
            <v>2377.016155224901</v>
          </cell>
          <cell r="AD135">
            <v>2538.6804034056968</v>
          </cell>
          <cell r="AE135">
            <v>2710.1513053447261</v>
          </cell>
          <cell r="AF135">
            <v>2891.935293731301</v>
          </cell>
          <cell r="AG135">
            <v>3084.5587617299911</v>
          </cell>
          <cell r="AH135">
            <v>3288.5684348979421</v>
          </cell>
          <cell r="AI135">
            <v>3504.5317208086831</v>
          </cell>
          <cell r="AJ135">
            <v>3733.0370338841708</v>
          </cell>
          <cell r="AK135">
            <v>3974.694092848295</v>
          </cell>
          <cell r="AL135">
            <v>4230.1341881299531</v>
          </cell>
          <cell r="AM135">
            <v>4500.010416463102</v>
          </cell>
          <cell r="AN135">
            <v>4784.9978798553047</v>
          </cell>
          <cell r="AO135">
            <v>5086.4757142760136</v>
          </cell>
          <cell r="AP135">
            <v>5406.948099358834</v>
          </cell>
        </row>
        <row r="136">
          <cell r="C136" t="str">
            <v>Санкт-Петербург - ЖаровскаяТариф Комфорт</v>
          </cell>
          <cell r="D136">
            <v>655.10944448305304</v>
          </cell>
          <cell r="E136">
            <v>711.05084759755971</v>
          </cell>
          <cell r="F136">
            <v>754.32698071522884</v>
          </cell>
          <cell r="G136">
            <v>800.23699536745517</v>
          </cell>
          <cell r="H136">
            <v>848.94119543164823</v>
          </cell>
          <cell r="I136">
            <v>900.60964123507244</v>
          </cell>
          <cell r="J136">
            <v>955.4227433540425</v>
          </cell>
          <cell r="K136">
            <v>1013.57189255306</v>
          </cell>
          <cell r="L136">
            <v>1100.5591677035079</v>
          </cell>
          <cell r="M136">
            <v>1188.5254755352039</v>
          </cell>
          <cell r="N136">
            <v>1280.9038800322189</v>
          </cell>
          <cell r="O136">
            <v>1377.7535410551</v>
          </cell>
          <cell r="P136">
            <v>1481.2407405653901</v>
          </cell>
          <cell r="Q136">
            <v>1590.8274668880861</v>
          </cell>
          <cell r="R136">
            <v>1707.957762577546</v>
          </cell>
          <cell r="S136">
            <v>1832.912882838541</v>
          </cell>
          <cell r="T136">
            <v>1966.1517974115461</v>
          </cell>
          <cell r="U136">
            <v>2108.1558143719731</v>
          </cell>
          <cell r="V136">
            <v>2259.4291456679671</v>
          </cell>
          <cell r="W136">
            <v>2420.4996386895482</v>
          </cell>
          <cell r="X136">
            <v>2591.9195060407392</v>
          </cell>
          <cell r="Y136">
            <v>2774.26605133359</v>
          </cell>
          <cell r="Z136">
            <v>2968.1423886764192</v>
          </cell>
          <cell r="AA136">
            <v>3174.1781533800981</v>
          </cell>
          <cell r="AB136">
            <v>3393.0302012560978</v>
          </cell>
          <cell r="AC136">
            <v>3625.3832937289949</v>
          </cell>
          <cell r="AD136">
            <v>3871.9507658345728</v>
          </cell>
          <cell r="AE136">
            <v>4133.4751740233642</v>
          </cell>
          <cell r="AF136">
            <v>4410.7289205389252</v>
          </cell>
          <cell r="AG136">
            <v>4704.5148509910978</v>
          </cell>
          <cell r="AH136">
            <v>5015.6668215978016</v>
          </cell>
          <cell r="AI136">
            <v>5345.0502324251238</v>
          </cell>
          <cell r="AJ136">
            <v>5693.5625228154277</v>
          </cell>
          <cell r="AK136">
            <v>6062.1336250582444</v>
          </cell>
          <cell r="AL136">
            <v>6451.7263722287198</v>
          </cell>
          <cell r="AM136">
            <v>6863.3368559955043</v>
          </cell>
          <cell r="AN136">
            <v>7297.9947300840977</v>
          </cell>
          <cell r="AO136">
            <v>7757.803428454099</v>
          </cell>
          <cell r="AP136">
            <v>8246.5822819031619</v>
          </cell>
        </row>
        <row r="137">
          <cell r="C137" t="str">
            <v>Санкт-Петербург - ЖаровскаяТариф Бизнес</v>
          </cell>
          <cell r="D137">
            <v>1777.321598417117</v>
          </cell>
          <cell r="E137">
            <v>1926.5075056230189</v>
          </cell>
          <cell r="F137">
            <v>2043.7590292618991</v>
          </cell>
          <cell r="G137">
            <v>2168.146740927823</v>
          </cell>
          <cell r="H137">
            <v>2300.1049648664562</v>
          </cell>
          <cell r="I137">
            <v>2440.0944592612509</v>
          </cell>
          <cell r="J137">
            <v>2588.6040250615911</v>
          </cell>
          <cell r="K137">
            <v>2746.152212727774</v>
          </cell>
          <cell r="L137">
            <v>2981.8338648026488</v>
          </cell>
          <cell r="M137">
            <v>3220.1680892147142</v>
          </cell>
          <cell r="N137">
            <v>3470.4563635656718</v>
          </cell>
          <cell r="O137">
            <v>3732.858974445096</v>
          </cell>
          <cell r="P137">
            <v>4013.245204580523</v>
          </cell>
          <cell r="Q137">
            <v>4310.1573754760966</v>
          </cell>
          <cell r="R137">
            <v>4627.5079482853444</v>
          </cell>
          <cell r="S137">
            <v>4966.0589504565432</v>
          </cell>
          <cell r="T137">
            <v>5327.0539057867127</v>
          </cell>
          <cell r="U137">
            <v>5711.7968611283759</v>
          </cell>
          <cell r="V137">
            <v>6121.6539186468217</v>
          </cell>
          <cell r="W137">
            <v>6558.0552179194428</v>
          </cell>
          <cell r="X137">
            <v>7022.4969131663638</v>
          </cell>
          <cell r="Y137">
            <v>7516.5431397027924</v>
          </cell>
          <cell r="Z137">
            <v>8041.827963306655</v>
          </cell>
          <cell r="AA137">
            <v>8600.057305792534</v>
          </cell>
          <cell r="AB137">
            <v>9193.0108396763899</v>
          </cell>
          <cell r="AC137">
            <v>9822.5438444061747</v>
          </cell>
          <cell r="AD137">
            <v>10490.58901622311</v>
          </cell>
          <cell r="AE137">
            <v>11199.158223308121</v>
          </cell>
          <cell r="AF137">
            <v>11950.34419746033</v>
          </cell>
          <cell r="AG137">
            <v>12746.322153150621</v>
          </cell>
          <cell r="AH137">
            <v>13589.351324395589</v>
          </cell>
          <cell r="AI137">
            <v>14481.776409508069</v>
          </cell>
          <cell r="AJ137">
            <v>15426.02891340044</v>
          </cell>
          <cell r="AK137">
            <v>16424.628376751909</v>
          </cell>
          <cell r="AL137">
            <v>17480.183480998141</v>
          </cell>
          <cell r="AM137">
            <v>18595.393017769042</v>
          </cell>
          <cell r="AN137">
            <v>19773.046711086561</v>
          </cell>
          <cell r="AO137">
            <v>21018.843564509229</v>
          </cell>
          <cell r="AP137">
            <v>22343.13159952244</v>
          </cell>
        </row>
        <row r="138">
          <cell r="C138" t="str">
            <v>Тверь - ВысоковоТверь - Высоково</v>
          </cell>
        </row>
        <row r="139">
          <cell r="C139" t="str">
            <v>Тверь - ВысоковоТариф Эконом</v>
          </cell>
          <cell r="D139">
            <v>352.99232997677473</v>
          </cell>
          <cell r="E139">
            <v>383.23245530017778</v>
          </cell>
          <cell r="F139">
            <v>406.55683330579728</v>
          </cell>
          <cell r="G139">
            <v>431.30078473695818</v>
          </cell>
          <cell r="H139">
            <v>457.55070798379171</v>
          </cell>
          <cell r="I139">
            <v>485.39825983425698</v>
          </cell>
          <cell r="J139">
            <v>514.94067551190687</v>
          </cell>
          <cell r="K139">
            <v>546.28110819186111</v>
          </cell>
          <cell r="L139">
            <v>593.16431935518676</v>
          </cell>
          <cell r="M139">
            <v>640.57519615525484</v>
          </cell>
          <cell r="N139">
            <v>690.36404443765093</v>
          </cell>
          <cell r="O139">
            <v>742.56274937442652</v>
          </cell>
          <cell r="P139">
            <v>798.33886397223091</v>
          </cell>
          <cell r="Q139">
            <v>857.40241806101631</v>
          </cell>
          <cell r="R139">
            <v>920.5317019353995</v>
          </cell>
          <cell r="S139">
            <v>987.87830267674769</v>
          </cell>
          <cell r="T139">
            <v>1059.689589514905</v>
          </cell>
          <cell r="U139">
            <v>1136.2249712897869</v>
          </cell>
          <cell r="V139">
            <v>1217.7562012572009</v>
          </cell>
          <cell r="W139">
            <v>1304.567771379971</v>
          </cell>
          <cell r="X139">
            <v>1396.957305650533</v>
          </cell>
          <cell r="Y139">
            <v>1495.2359512694691</v>
          </cell>
          <cell r="Z139">
            <v>1599.728766425425</v>
          </cell>
          <cell r="AA139">
            <v>1710.775103341867</v>
          </cell>
          <cell r="AB139">
            <v>1828.7289851751691</v>
          </cell>
          <cell r="AC139">
            <v>1953.959475267173</v>
          </cell>
          <cell r="AD139">
            <v>2086.8510371736679</v>
          </cell>
          <cell r="AE139">
            <v>2227.8038838086859</v>
          </cell>
          <cell r="AF139">
            <v>2377.2343139633349</v>
          </cell>
          <cell r="AG139">
            <v>2535.5750343776858</v>
          </cell>
          <cell r="AH139">
            <v>2703.2754654649798</v>
          </cell>
          <cell r="AI139">
            <v>2880.8020287100671</v>
          </cell>
          <cell r="AJ139">
            <v>3068.638413688484</v>
          </cell>
          <cell r="AK139">
            <v>3267.2858225797668</v>
          </cell>
          <cell r="AL139">
            <v>3477.2631899786529</v>
          </cell>
          <cell r="AM139">
            <v>3699.107375741467</v>
          </cell>
          <cell r="AN139">
            <v>3933.3733285426438</v>
          </cell>
          <cell r="AO139">
            <v>4181.1947284328089</v>
          </cell>
          <cell r="AP139">
            <v>4444.6300660587749</v>
          </cell>
        </row>
        <row r="140">
          <cell r="C140" t="str">
            <v>Тверь - ВысоковоТариф Комфорт</v>
          </cell>
          <cell r="D140">
            <v>573.87380711136848</v>
          </cell>
          <cell r="E140">
            <v>622.87829979702417</v>
          </cell>
          <cell r="F140">
            <v>660.7880559124967</v>
          </cell>
          <cell r="G140">
            <v>701.00508394481551</v>
          </cell>
          <cell r="H140">
            <v>743.66980958498334</v>
          </cell>
          <cell r="I140">
            <v>788.93120514330303</v>
          </cell>
          <cell r="J140">
            <v>836.94730971559989</v>
          </cell>
          <cell r="K140">
            <v>887.88578100791892</v>
          </cell>
          <cell r="L140">
            <v>964.08635967645478</v>
          </cell>
          <cell r="M140">
            <v>1041.144567885834</v>
          </cell>
          <cell r="N140">
            <v>1122.067758858007</v>
          </cell>
          <cell r="O140">
            <v>1206.907756444218</v>
          </cell>
          <cell r="P140">
            <v>1297.562216810192</v>
          </cell>
          <cell r="Q140">
            <v>1393.5598434255469</v>
          </cell>
          <cell r="R140">
            <v>1496.1656130133019</v>
          </cell>
          <cell r="S140">
            <v>1605.6259042457409</v>
          </cell>
          <cell r="T140">
            <v>1722.3427731679001</v>
          </cell>
          <cell r="U140">
            <v>1846.7378441357639</v>
          </cell>
          <cell r="V140">
            <v>1979.2528052255941</v>
          </cell>
          <cell r="W140">
            <v>2120.350049086182</v>
          </cell>
          <cell r="X140">
            <v>2270.51331221694</v>
          </cell>
          <cell r="Y140">
            <v>2430.2483107611729</v>
          </cell>
          <cell r="Z140">
            <v>2600.0833707755091</v>
          </cell>
          <cell r="AA140">
            <v>2780.570050806361</v>
          </cell>
          <cell r="AB140">
            <v>2972.2837544728168</v>
          </cell>
          <cell r="AC140">
            <v>3175.8243306230211</v>
          </cell>
          <cell r="AD140">
            <v>3391.816658498421</v>
          </cell>
          <cell r="AE140">
            <v>3620.9112152076109</v>
          </cell>
          <cell r="AF140">
            <v>3863.7846226797451</v>
          </cell>
          <cell r="AG140">
            <v>4121.1401711368162</v>
          </cell>
          <cell r="AH140">
            <v>4393.7083159956919</v>
          </cell>
          <cell r="AI140">
            <v>4682.2471449847353</v>
          </cell>
          <cell r="AJ140">
            <v>4987.5428121372797</v>
          </cell>
          <cell r="AK140">
            <v>5310.4099352058893</v>
          </cell>
          <cell r="AL140">
            <v>5651.6919529275583</v>
          </cell>
          <cell r="AM140">
            <v>6012.2614384622884</v>
          </cell>
          <cell r="AN140">
            <v>6393.0203652260243</v>
          </cell>
          <cell r="AO140">
            <v>6795.8113347330154</v>
          </cell>
          <cell r="AP140">
            <v>7223.9800687156003</v>
          </cell>
        </row>
        <row r="141">
          <cell r="C141" t="str">
            <v>Тверь - ВысоковоТариф Бизнес</v>
          </cell>
          <cell r="D141">
            <v>1299.02230435805</v>
          </cell>
          <cell r="E141">
            <v>1408.060432926877</v>
          </cell>
          <cell r="F141">
            <v>1493.758116768968</v>
          </cell>
          <cell r="G141">
            <v>1584.6715518985461</v>
          </cell>
          <cell r="H141">
            <v>1681.1181805179369</v>
          </cell>
          <cell r="I141">
            <v>1783.43476506662</v>
          </cell>
          <cell r="J141">
            <v>1891.978564093753</v>
          </cell>
          <cell r="K141">
            <v>2007.1285796969109</v>
          </cell>
          <cell r="L141">
            <v>2179.3853750038938</v>
          </cell>
          <cell r="M141">
            <v>2353.5809025206249</v>
          </cell>
          <cell r="N141">
            <v>2536.5134968191151</v>
          </cell>
          <cell r="O141">
            <v>2728.300309378943</v>
          </cell>
          <cell r="P141">
            <v>2933.231126123178</v>
          </cell>
          <cell r="Q141">
            <v>3150.2405479251861</v>
          </cell>
          <cell r="R141">
            <v>3382.1881440986422</v>
          </cell>
          <cell r="S141">
            <v>3629.630871050721</v>
          </cell>
          <cell r="T141">
            <v>3893.477604895776</v>
          </cell>
          <cell r="U141">
            <v>4174.6814572984958</v>
          </cell>
          <cell r="V141">
            <v>4474.2408953817267</v>
          </cell>
          <cell r="W141">
            <v>4793.2011904182827</v>
          </cell>
          <cell r="X141">
            <v>5132.6558629642823</v>
          </cell>
          <cell r="Y141">
            <v>5493.7481201147712</v>
          </cell>
          <cell r="Z141">
            <v>5877.6722802723407</v>
          </cell>
          <cell r="AA141">
            <v>6285.6751805252306</v>
          </cell>
          <cell r="AB141">
            <v>6719.0575614342624</v>
          </cell>
          <cell r="AC141">
            <v>7179.1754237287651</v>
          </cell>
          <cell r="AD141">
            <v>7667.4413511117318</v>
          </cell>
          <cell r="AE141">
            <v>8185.3257930745558</v>
          </cell>
          <cell r="AF141">
            <v>8734.3583013238804</v>
          </cell>
          <cell r="AG141">
            <v>9316.1287131277331</v>
          </cell>
          <cell r="AH141">
            <v>9932.2882745976531</v>
          </cell>
          <cell r="AI141">
            <v>10584.55069663888</v>
          </cell>
          <cell r="AJ141">
            <v>11274.693136023259</v>
          </cell>
          <cell r="AK141">
            <v>12004.55709377228</v>
          </cell>
          <cell r="AL141">
            <v>12776.049222780341</v>
          </cell>
          <cell r="AM141">
            <v>13591.14203636479</v>
          </cell>
          <cell r="AN141">
            <v>14451.874509200061</v>
          </cell>
          <cell r="AO141">
            <v>15362.41197227731</v>
          </cell>
          <cell r="AP141">
            <v>16330.317666108251</v>
          </cell>
        </row>
        <row r="142">
          <cell r="C142" t="str">
            <v>Новгород - ЖаровскаяНовгород - Жаровская</v>
          </cell>
        </row>
        <row r="143">
          <cell r="C143" t="str">
            <v>Новгород - ЖаровскаяТариф Эконом</v>
          </cell>
          <cell r="D143">
            <v>433.12148006432079</v>
          </cell>
          <cell r="E143">
            <v>470.22610451399271</v>
          </cell>
          <cell r="F143">
            <v>498.84510913666622</v>
          </cell>
          <cell r="G143">
            <v>529.20592991486615</v>
          </cell>
          <cell r="H143">
            <v>561.41457764664949</v>
          </cell>
          <cell r="I143">
            <v>595.58351518258689</v>
          </cell>
          <cell r="J143">
            <v>631.832050112003</v>
          </cell>
          <cell r="K143">
            <v>670.28675134897071</v>
          </cell>
          <cell r="L143">
            <v>727.81243699365234</v>
          </cell>
          <cell r="M143">
            <v>785.98556821195325</v>
          </cell>
          <cell r="N143">
            <v>847.07646970601161</v>
          </cell>
          <cell r="O143">
            <v>911.12426457210552</v>
          </cell>
          <cell r="P143">
            <v>979.56153998947138</v>
          </cell>
          <cell r="Q143">
            <v>1052.0325026488499</v>
          </cell>
          <cell r="R143">
            <v>1129.4921145018111</v>
          </cell>
          <cell r="S143">
            <v>1212.1263728504639</v>
          </cell>
          <cell r="T143">
            <v>1300.23879966357</v>
          </cell>
          <cell r="U143">
            <v>1394.147689507736</v>
          </cell>
          <cell r="V143">
            <v>1494.186483544067</v>
          </cell>
          <cell r="W143">
            <v>1600.7042533232441</v>
          </cell>
          <cell r="X143">
            <v>1714.0661833922411</v>
          </cell>
          <cell r="Y143">
            <v>1834.6540512702511</v>
          </cell>
          <cell r="Z143">
            <v>1962.8667032545379</v>
          </cell>
          <cell r="AA143">
            <v>2099.120524418684</v>
          </cell>
          <cell r="AB143">
            <v>2243.849901066425</v>
          </cell>
          <cell r="AC143">
            <v>2397.5076738044258</v>
          </cell>
          <cell r="AD143">
            <v>2560.5655792971252</v>
          </cell>
          <cell r="AE143">
            <v>2733.5146786666628</v>
          </cell>
          <cell r="AF143">
            <v>2916.865770401399</v>
          </cell>
          <cell r="AG143">
            <v>3111.149785538008</v>
          </cell>
          <cell r="AH143">
            <v>3316.918162784993</v>
          </cell>
          <cell r="AI143">
            <v>3534.7432011604819</v>
          </cell>
          <cell r="AJ143">
            <v>3765.2183876245522</v>
          </cell>
          <cell r="AK143">
            <v>4008.9586970969872</v>
          </cell>
          <cell r="AL143">
            <v>4266.6008621655556</v>
          </cell>
          <cell r="AM143">
            <v>4538.8036097084732</v>
          </cell>
          <cell r="AN143">
            <v>4826.2478615781956</v>
          </cell>
          <cell r="AO143">
            <v>5130.3246428473594</v>
          </cell>
          <cell r="AP143">
            <v>5453.5597209050311</v>
          </cell>
        </row>
        <row r="144">
          <cell r="C144" t="str">
            <v>Новгород - ЖаровскаяТариф Комфорт</v>
          </cell>
          <cell r="D144">
            <v>660.75693969411384</v>
          </cell>
          <cell r="E144">
            <v>717.18059628374567</v>
          </cell>
          <cell r="F144">
            <v>760.82979951449818</v>
          </cell>
          <cell r="G144">
            <v>807.13559015510566</v>
          </cell>
          <cell r="H144">
            <v>856.25965401295559</v>
          </cell>
          <cell r="I144">
            <v>908.37351745261628</v>
          </cell>
          <cell r="J144">
            <v>963.6591463139913</v>
          </cell>
          <cell r="K144">
            <v>1022.309581281966</v>
          </cell>
          <cell r="L144">
            <v>1110.0467467354349</v>
          </cell>
          <cell r="M144">
            <v>1198.7713848070589</v>
          </cell>
          <cell r="N144">
            <v>1291.946154860083</v>
          </cell>
          <cell r="O144">
            <v>1389.6307267538509</v>
          </cell>
          <cell r="P144">
            <v>1494.010057294402</v>
          </cell>
          <cell r="Q144">
            <v>1604.541496775053</v>
          </cell>
          <cell r="R144">
            <v>1722.681536392869</v>
          </cell>
          <cell r="S144">
            <v>1848.7138559664591</v>
          </cell>
          <cell r="T144">
            <v>1983.10138187199</v>
          </cell>
          <cell r="U144">
            <v>2126.3295713924208</v>
          </cell>
          <cell r="V144">
            <v>2278.9069831306219</v>
          </cell>
          <cell r="W144">
            <v>2441.3660148851482</v>
          </cell>
          <cell r="X144">
            <v>2614.2636397135038</v>
          </cell>
          <cell r="Y144">
            <v>2798.1821379830171</v>
          </cell>
          <cell r="Z144">
            <v>2993.7298230615611</v>
          </cell>
          <cell r="AA144">
            <v>3201.5417581506158</v>
          </cell>
          <cell r="AB144">
            <v>3422.2804616117551</v>
          </cell>
          <cell r="AC144">
            <v>3656.6365979852799</v>
          </cell>
          <cell r="AD144">
            <v>3905.3296517469412</v>
          </cell>
          <cell r="AE144">
            <v>4169.10858069598</v>
          </cell>
          <cell r="AF144">
            <v>4448.7524457159861</v>
          </cell>
          <cell r="AG144">
            <v>4745.0710134996434</v>
          </cell>
          <cell r="AH144">
            <v>5058.9053286805429</v>
          </cell>
          <cell r="AI144">
            <v>5391.1282516701694</v>
          </cell>
          <cell r="AJ144">
            <v>5742.6449583569411</v>
          </cell>
          <cell r="AK144">
            <v>6114.3933976880571</v>
          </cell>
          <cell r="AL144">
            <v>6507.3447030237958</v>
          </cell>
          <cell r="AM144">
            <v>6922.5035530299492</v>
          </cell>
          <cell r="AN144">
            <v>7360.908477757238</v>
          </cell>
          <cell r="AO144">
            <v>7824.6810442166352</v>
          </cell>
          <cell r="AP144">
            <v>8317.6735084712927</v>
          </cell>
        </row>
        <row r="145">
          <cell r="C145" t="str">
            <v>Новгород - ЖаровскаяТариф Бизнес</v>
          </cell>
          <cell r="D145">
            <v>1792.643336334505</v>
          </cell>
          <cell r="E145">
            <v>1943.115328947355</v>
          </cell>
          <cell r="F145">
            <v>2061.3776415831221</v>
          </cell>
          <cell r="G145">
            <v>2186.8376611082349</v>
          </cell>
          <cell r="H145">
            <v>2319.9334559428912</v>
          </cell>
          <cell r="I145">
            <v>2461.1297563238481</v>
          </cell>
          <cell r="J145">
            <v>2610.9195770017759</v>
          </cell>
          <cell r="K145">
            <v>2769.825938699566</v>
          </cell>
          <cell r="L145">
            <v>3007.539329154396</v>
          </cell>
          <cell r="M145">
            <v>3247.9281589493239</v>
          </cell>
          <cell r="N145">
            <v>3500.3740908377899</v>
          </cell>
          <cell r="O145">
            <v>3765.0387931903119</v>
          </cell>
          <cell r="P145">
            <v>4047.842145999321</v>
          </cell>
          <cell r="Q145">
            <v>4347.3139045750286</v>
          </cell>
          <cell r="R145">
            <v>4667.4002581843561</v>
          </cell>
          <cell r="S145">
            <v>5008.8698034777208</v>
          </cell>
          <cell r="T145">
            <v>5372.9767842848742</v>
          </cell>
          <cell r="U145">
            <v>5761.036489241551</v>
          </cell>
          <cell r="V145">
            <v>6174.4267972558464</v>
          </cell>
          <cell r="W145">
            <v>6614.5901766946099</v>
          </cell>
          <cell r="X145">
            <v>7083.0356796591768</v>
          </cell>
          <cell r="Y145">
            <v>7581.3409253898853</v>
          </cell>
          <cell r="Z145">
            <v>8111.1540664386084</v>
          </cell>
          <cell r="AA145">
            <v>8674.1957308424699</v>
          </cell>
          <cell r="AB145">
            <v>9272.2609331218755</v>
          </cell>
          <cell r="AC145">
            <v>9907.2209465131236</v>
          </cell>
          <cell r="AD145">
            <v>10581.025128431929</v>
          </cell>
          <cell r="AE145">
            <v>11295.70269075043</v>
          </cell>
          <cell r="AF145">
            <v>12053.36440605913</v>
          </cell>
          <cell r="AG145">
            <v>12856.20424067778</v>
          </cell>
          <cell r="AH145">
            <v>13706.500904778321</v>
          </cell>
          <cell r="AI145">
            <v>14606.619309590031</v>
          </cell>
          <cell r="AJ145">
            <v>15559.011921274579</v>
          </cell>
          <cell r="AK145">
            <v>16566.220000689431</v>
          </cell>
          <cell r="AL145">
            <v>17630.874717903291</v>
          </cell>
          <cell r="AM145">
            <v>18755.698129991189</v>
          </cell>
          <cell r="AN145">
            <v>19943.50401032007</v>
          </cell>
          <cell r="AO145">
            <v>21200.040491789481</v>
          </cell>
          <cell r="AP145">
            <v>22535.74480296659</v>
          </cell>
        </row>
      </sheetData>
      <sheetData sheetId="9">
        <row r="2">
          <cell r="D2" t="str">
            <v>Москва-Пасс. - С.Петербург-Главн.</v>
          </cell>
          <cell r="E2" t="str">
            <v>Москва - Санкт-Петербург</v>
          </cell>
          <cell r="M2">
            <v>2028</v>
          </cell>
          <cell r="N2">
            <v>1</v>
          </cell>
        </row>
        <row r="3">
          <cell r="D3" t="str">
            <v>Рижская - С.Петербург-Главн.</v>
          </cell>
          <cell r="E3" t="str">
            <v>Москва - Санкт-Петербург</v>
          </cell>
          <cell r="M3">
            <v>2029</v>
          </cell>
          <cell r="N3">
            <v>2</v>
          </cell>
        </row>
        <row r="4">
          <cell r="D4" t="str">
            <v>П.-Разумовская - С.Петербург-Главн.</v>
          </cell>
          <cell r="E4" t="str">
            <v>Москва - Санкт-Петербург</v>
          </cell>
          <cell r="M4">
            <v>2030</v>
          </cell>
          <cell r="N4">
            <v>3</v>
          </cell>
        </row>
        <row r="5">
          <cell r="D5" t="str">
            <v>Крюково - С.Петербург-Главн.</v>
          </cell>
          <cell r="E5" t="str">
            <v>Москва - Санкт-Петербург</v>
          </cell>
          <cell r="M5">
            <v>2031</v>
          </cell>
          <cell r="N5">
            <v>4</v>
          </cell>
        </row>
        <row r="6">
          <cell r="D6" t="str">
            <v>Москва-Пасс. - Южный</v>
          </cell>
          <cell r="E6" t="str">
            <v>Москва - Санкт-Петербург</v>
          </cell>
          <cell r="M6">
            <v>2032</v>
          </cell>
          <cell r="N6">
            <v>5</v>
          </cell>
        </row>
        <row r="7">
          <cell r="D7" t="str">
            <v>Рижская - Южный</v>
          </cell>
          <cell r="E7" t="str">
            <v>Москва - Санкт-Петербург</v>
          </cell>
          <cell r="M7">
            <v>2033</v>
          </cell>
          <cell r="N7">
            <v>6</v>
          </cell>
        </row>
        <row r="8">
          <cell r="D8" t="str">
            <v>П.-Разумовская - Южный</v>
          </cell>
          <cell r="E8" t="str">
            <v>Москва - Санкт-Петербург</v>
          </cell>
          <cell r="M8">
            <v>2034</v>
          </cell>
          <cell r="N8">
            <v>7</v>
          </cell>
        </row>
        <row r="9">
          <cell r="D9" t="str">
            <v>Крюково - Южный</v>
          </cell>
          <cell r="E9" t="str">
            <v>Москва - Санкт-Петербург</v>
          </cell>
          <cell r="M9">
            <v>2035</v>
          </cell>
          <cell r="N9">
            <v>8</v>
          </cell>
        </row>
        <row r="10">
          <cell r="D10" t="str">
            <v>Москва-Пасс. - Тверь</v>
          </cell>
          <cell r="E10" t="str">
            <v>Москва - Тверь</v>
          </cell>
        </row>
        <row r="11">
          <cell r="D11" t="str">
            <v>Рижская - Тверь</v>
          </cell>
          <cell r="E11" t="str">
            <v>Москва - Тверь</v>
          </cell>
        </row>
        <row r="12">
          <cell r="D12" t="str">
            <v>П.-Разумовская - Тверь</v>
          </cell>
          <cell r="E12" t="str">
            <v>Москва - Тверь</v>
          </cell>
        </row>
        <row r="13">
          <cell r="D13" t="str">
            <v>Крюково - Тверь</v>
          </cell>
          <cell r="E13" t="str">
            <v>Москва - Тверь</v>
          </cell>
        </row>
        <row r="14">
          <cell r="D14" t="str">
            <v>С.Петербург-Главн. - Великий Новгород</v>
          </cell>
          <cell r="E14" t="str">
            <v>Санкт-Петербург - Великий Новгород</v>
          </cell>
        </row>
        <row r="15">
          <cell r="D15" t="str">
            <v>Южный - Великий Новгород</v>
          </cell>
          <cell r="E15" t="str">
            <v>Санкт-Петербург - Великий Новгород</v>
          </cell>
        </row>
        <row r="16">
          <cell r="D16" t="str">
            <v>Москва-Пасс. - Великий Новгород</v>
          </cell>
          <cell r="E16" t="str">
            <v>Москва - Великий Новгород</v>
          </cell>
        </row>
        <row r="17">
          <cell r="D17" t="str">
            <v>Рижская - Великий Новгород</v>
          </cell>
          <cell r="E17" t="str">
            <v>Москва - Великий Новгород</v>
          </cell>
        </row>
        <row r="18">
          <cell r="D18" t="str">
            <v>П.-Разумовская - Великий Новгород</v>
          </cell>
          <cell r="E18" t="str">
            <v>Москва - Великий Новгород</v>
          </cell>
        </row>
        <row r="19">
          <cell r="D19" t="str">
            <v>Крюково - Великий Новгород</v>
          </cell>
          <cell r="E19" t="str">
            <v>Москва - Великий Новгород</v>
          </cell>
        </row>
        <row r="20">
          <cell r="D20" t="str">
            <v>С.Петербург-Главн. - Тверь</v>
          </cell>
          <cell r="E20" t="str">
            <v>Тверь - Санкт-Петербург</v>
          </cell>
        </row>
        <row r="21">
          <cell r="D21" t="str">
            <v>Южный - Тверь</v>
          </cell>
          <cell r="E21" t="str">
            <v>Тверь - Санкт-Петербург</v>
          </cell>
        </row>
        <row r="22">
          <cell r="D22" t="str">
            <v>Москва-Пасс. - Логовежь</v>
          </cell>
          <cell r="E22" t="str">
            <v>Москва - Логовежь</v>
          </cell>
        </row>
        <row r="23">
          <cell r="D23" t="str">
            <v>Москва-Пасс. - Высоково</v>
          </cell>
          <cell r="E23" t="str">
            <v>Москва - Высоково</v>
          </cell>
        </row>
        <row r="24">
          <cell r="D24" t="str">
            <v>Великий Новгород - Тверь</v>
          </cell>
          <cell r="E24" t="str">
            <v>Тверь - Великий Новгород</v>
          </cell>
        </row>
        <row r="25">
          <cell r="D25" t="str">
            <v>С.Петербург-Главн. - Жаровская</v>
          </cell>
          <cell r="E25" t="str">
            <v>Санкт-Петербург - Жаровская</v>
          </cell>
        </row>
        <row r="26">
          <cell r="D26" t="str">
            <v>С.Петербург-Главн. - Логовежь</v>
          </cell>
          <cell r="E26" t="str">
            <v>Санкт-Петербург - Логовежь</v>
          </cell>
        </row>
        <row r="27">
          <cell r="D27" t="str">
            <v>Москва-Пасс. - Валдай</v>
          </cell>
          <cell r="E27" t="str">
            <v>Москва - Валдай</v>
          </cell>
        </row>
        <row r="28">
          <cell r="D28" t="str">
            <v>Москва-Пасс. - Выпозово</v>
          </cell>
          <cell r="E28" t="str">
            <v>Москва - Выползово</v>
          </cell>
        </row>
        <row r="29">
          <cell r="D29" t="str">
            <v>Москва-Пасс. - Садва</v>
          </cell>
          <cell r="E29" t="str">
            <v>Москва - Садва</v>
          </cell>
        </row>
        <row r="30">
          <cell r="D30" t="str">
            <v>Тверь - Логовежь</v>
          </cell>
          <cell r="E30" t="str">
            <v>Новая Тверь - Логовежь</v>
          </cell>
        </row>
        <row r="31">
          <cell r="D31" t="str">
            <v>Великий Новгород - Валдай</v>
          </cell>
          <cell r="E31" t="str">
            <v xml:space="preserve">Великий Новгород - Валдай </v>
          </cell>
        </row>
        <row r="32">
          <cell r="D32" t="str">
            <v>С.Петербург-Главн. - Валдай</v>
          </cell>
          <cell r="E32" t="str">
            <v xml:space="preserve">Санкт-Петербург - Валдай </v>
          </cell>
        </row>
        <row r="33">
          <cell r="D33" t="str">
            <v>Тверь - Выпозово</v>
          </cell>
          <cell r="E33" t="str">
            <v xml:space="preserve">Новая Тверь - Выползово </v>
          </cell>
        </row>
        <row r="34">
          <cell r="D34" t="str">
            <v>Тверь - Высоково</v>
          </cell>
          <cell r="E34" t="str">
            <v>Тверь - Высоково</v>
          </cell>
        </row>
        <row r="35">
          <cell r="D35" t="str">
            <v>Великий Новгород - Логовежь</v>
          </cell>
          <cell r="E35" t="str">
            <v>Великий Новгород - Логовежь</v>
          </cell>
        </row>
        <row r="36">
          <cell r="D36" t="str">
            <v>Тверь - Садва</v>
          </cell>
          <cell r="E36" t="str">
            <v>Новая Тверь - Садва</v>
          </cell>
        </row>
        <row r="37">
          <cell r="D37" t="str">
            <v>С.Петербург-Главн. - Высоково</v>
          </cell>
          <cell r="E37" t="str">
            <v>Санкт-Петербург - Высоково</v>
          </cell>
        </row>
        <row r="38">
          <cell r="D38" t="str">
            <v>С.Петербург-Главн. - Выпозово</v>
          </cell>
          <cell r="E38" t="str">
            <v>Санкт-Петербург - Выползово</v>
          </cell>
        </row>
        <row r="39">
          <cell r="D39" t="str">
            <v>Великий Новгород - Жаровская</v>
          </cell>
          <cell r="E39" t="str">
            <v>Новгород - Жаровская</v>
          </cell>
        </row>
        <row r="40">
          <cell r="D40" t="str">
            <v>Москва-Пасс. - Жаровская</v>
          </cell>
          <cell r="E40" t="str">
            <v>Москва - Жаровская</v>
          </cell>
        </row>
        <row r="41">
          <cell r="D41" t="str">
            <v>С.Петербург-Главн. - Садва</v>
          </cell>
          <cell r="E41" t="str">
            <v>Санкт-Петербург - Садва</v>
          </cell>
        </row>
        <row r="42">
          <cell r="D42" t="str">
            <v>Тверь - Валдай</v>
          </cell>
          <cell r="E42" t="str">
            <v>Новая Тверь - Валдай</v>
          </cell>
        </row>
        <row r="43">
          <cell r="D43" t="str">
            <v>Великий Новгород - Выпозово</v>
          </cell>
          <cell r="E43" t="str">
            <v>Великий Новгород - Выползово</v>
          </cell>
        </row>
        <row r="44">
          <cell r="D44" t="str">
            <v>Великий Новгород - Садва</v>
          </cell>
          <cell r="E44" t="str">
            <v>Великий Новгород - Садва</v>
          </cell>
        </row>
      </sheetData>
      <sheetData sheetId="10">
        <row r="8">
          <cell r="X8">
            <v>8517</v>
          </cell>
          <cell r="Y8">
            <v>9045</v>
          </cell>
          <cell r="Z8">
            <v>9557</v>
          </cell>
          <cell r="AA8">
            <v>9896</v>
          </cell>
          <cell r="AB8">
            <v>10608</v>
          </cell>
          <cell r="AC8">
            <v>11146</v>
          </cell>
          <cell r="AD8">
            <v>11718</v>
          </cell>
          <cell r="AE8">
            <v>12316</v>
          </cell>
          <cell r="AF8">
            <v>1</v>
          </cell>
          <cell r="AG8" t="str">
            <v>Москва-Пасс. - С.Петербург-Главн.</v>
          </cell>
        </row>
        <row r="9">
          <cell r="X9">
            <v>8490</v>
          </cell>
          <cell r="Y9">
            <v>9017</v>
          </cell>
          <cell r="Z9">
            <v>9528</v>
          </cell>
          <cell r="AA9">
            <v>9865</v>
          </cell>
          <cell r="AB9">
            <v>10575</v>
          </cell>
          <cell r="AC9">
            <v>11112</v>
          </cell>
          <cell r="AD9">
            <v>11682</v>
          </cell>
          <cell r="AE9">
            <v>12278</v>
          </cell>
          <cell r="AF9">
            <v>2</v>
          </cell>
          <cell r="AG9" t="str">
            <v>Рижская - С.Петербург-Главн.</v>
          </cell>
        </row>
        <row r="10">
          <cell r="X10">
            <v>8424</v>
          </cell>
          <cell r="Y10">
            <v>8946</v>
          </cell>
          <cell r="Z10">
            <v>9453</v>
          </cell>
          <cell r="AA10">
            <v>9788</v>
          </cell>
          <cell r="AB10">
            <v>10492</v>
          </cell>
          <cell r="AC10">
            <v>11025</v>
          </cell>
          <cell r="AD10">
            <v>11590</v>
          </cell>
          <cell r="AE10">
            <v>12182</v>
          </cell>
          <cell r="AF10">
            <v>3</v>
          </cell>
          <cell r="AG10" t="str">
            <v>П.-Разумовская - С.Петербург-Главн.</v>
          </cell>
        </row>
        <row r="11">
          <cell r="X11">
            <v>7982</v>
          </cell>
          <cell r="Y11">
            <v>8477</v>
          </cell>
          <cell r="Z11">
            <v>8957</v>
          </cell>
          <cell r="AA11">
            <v>9274</v>
          </cell>
          <cell r="AB11">
            <v>9941</v>
          </cell>
          <cell r="AC11">
            <v>10446</v>
          </cell>
          <cell r="AD11">
            <v>10982</v>
          </cell>
          <cell r="AE11">
            <v>11543</v>
          </cell>
          <cell r="AF11">
            <v>4</v>
          </cell>
          <cell r="AG11" t="str">
            <v>Крюково - С.Петербург-Главн.</v>
          </cell>
        </row>
        <row r="12">
          <cell r="X12">
            <v>8381</v>
          </cell>
          <cell r="Y12">
            <v>8901</v>
          </cell>
          <cell r="Z12">
            <v>9405</v>
          </cell>
          <cell r="AA12">
            <v>9738</v>
          </cell>
          <cell r="AB12">
            <v>10439</v>
          </cell>
          <cell r="AC12">
            <v>10969</v>
          </cell>
          <cell r="AD12">
            <v>11531</v>
          </cell>
          <cell r="AE12">
            <v>12120</v>
          </cell>
          <cell r="AF12">
            <v>5</v>
          </cell>
          <cell r="AG12" t="str">
            <v>Москва-Пасс. - Южный</v>
          </cell>
        </row>
        <row r="13">
          <cell r="X13">
            <v>8355</v>
          </cell>
          <cell r="Y13">
            <v>8873</v>
          </cell>
          <cell r="Z13">
            <v>9376</v>
          </cell>
          <cell r="AA13">
            <v>9707</v>
          </cell>
          <cell r="AB13">
            <v>10406</v>
          </cell>
          <cell r="AC13">
            <v>10934</v>
          </cell>
          <cell r="AD13">
            <v>11495</v>
          </cell>
          <cell r="AE13">
            <v>12082</v>
          </cell>
          <cell r="AF13">
            <v>6</v>
          </cell>
          <cell r="AG13" t="str">
            <v>Рижская - Южный</v>
          </cell>
        </row>
        <row r="14">
          <cell r="X14">
            <v>8288</v>
          </cell>
          <cell r="Y14">
            <v>8802</v>
          </cell>
          <cell r="Z14">
            <v>9301</v>
          </cell>
          <cell r="AA14">
            <v>9630</v>
          </cell>
          <cell r="AB14">
            <v>10323</v>
          </cell>
          <cell r="AC14">
            <v>10847</v>
          </cell>
          <cell r="AD14">
            <v>11403</v>
          </cell>
          <cell r="AE14">
            <v>11986</v>
          </cell>
          <cell r="AF14">
            <v>7</v>
          </cell>
          <cell r="AG14" t="str">
            <v>П.-Разумовская - Южный</v>
          </cell>
        </row>
        <row r="15">
          <cell r="X15">
            <v>7846</v>
          </cell>
          <cell r="Y15">
            <v>8333</v>
          </cell>
          <cell r="Z15">
            <v>8805</v>
          </cell>
          <cell r="AA15">
            <v>9116</v>
          </cell>
          <cell r="AB15">
            <v>9772</v>
          </cell>
          <cell r="AC15">
            <v>10269</v>
          </cell>
          <cell r="AD15">
            <v>10795</v>
          </cell>
          <cell r="AE15">
            <v>11346</v>
          </cell>
          <cell r="AF15">
            <v>8</v>
          </cell>
          <cell r="AG15" t="str">
            <v>Крюково - Южный</v>
          </cell>
        </row>
        <row r="16">
          <cell r="X16">
            <v>2384</v>
          </cell>
          <cell r="Y16">
            <v>2532</v>
          </cell>
          <cell r="Z16">
            <v>2675</v>
          </cell>
          <cell r="AA16">
            <v>2770</v>
          </cell>
          <cell r="AB16">
            <v>2969</v>
          </cell>
          <cell r="AC16">
            <v>3120</v>
          </cell>
          <cell r="AD16">
            <v>3280</v>
          </cell>
          <cell r="AE16">
            <v>3448</v>
          </cell>
          <cell r="AF16">
            <v>9</v>
          </cell>
          <cell r="AG16" t="str">
            <v>Москва-Пасс. - Тверь</v>
          </cell>
        </row>
        <row r="17">
          <cell r="X17">
            <v>2358</v>
          </cell>
          <cell r="Y17">
            <v>2504</v>
          </cell>
          <cell r="Z17">
            <v>2646</v>
          </cell>
          <cell r="AA17">
            <v>2739</v>
          </cell>
          <cell r="AB17">
            <v>2937</v>
          </cell>
          <cell r="AC17">
            <v>3086</v>
          </cell>
          <cell r="AD17">
            <v>3244</v>
          </cell>
          <cell r="AE17">
            <v>3410</v>
          </cell>
          <cell r="AF17">
            <v>10</v>
          </cell>
          <cell r="AG17" t="str">
            <v>Рижская - Тверь</v>
          </cell>
        </row>
        <row r="18">
          <cell r="X18">
            <v>2291</v>
          </cell>
          <cell r="Y18">
            <v>2433</v>
          </cell>
          <cell r="Z18">
            <v>2571</v>
          </cell>
          <cell r="AA18">
            <v>2662</v>
          </cell>
          <cell r="AB18">
            <v>2854</v>
          </cell>
          <cell r="AC18">
            <v>2999</v>
          </cell>
          <cell r="AD18">
            <v>3152</v>
          </cell>
          <cell r="AE18">
            <v>3313</v>
          </cell>
          <cell r="AF18">
            <v>11</v>
          </cell>
          <cell r="AG18" t="str">
            <v>П.-Разумовская - Тверь</v>
          </cell>
        </row>
        <row r="19">
          <cell r="X19">
            <v>1849</v>
          </cell>
          <cell r="Y19">
            <v>1964</v>
          </cell>
          <cell r="Z19">
            <v>2075</v>
          </cell>
          <cell r="AA19">
            <v>2148</v>
          </cell>
          <cell r="AB19">
            <v>2303</v>
          </cell>
          <cell r="AC19">
            <v>2420</v>
          </cell>
          <cell r="AD19">
            <v>2544</v>
          </cell>
          <cell r="AE19">
            <v>2674</v>
          </cell>
          <cell r="AF19">
            <v>12</v>
          </cell>
          <cell r="AG19" t="str">
            <v>Крюково - Тверь</v>
          </cell>
        </row>
        <row r="20">
          <cell r="X20">
            <v>1906</v>
          </cell>
          <cell r="Y20">
            <v>2024</v>
          </cell>
          <cell r="Z20">
            <v>2138</v>
          </cell>
          <cell r="AA20">
            <v>2214</v>
          </cell>
          <cell r="AB20">
            <v>2373</v>
          </cell>
          <cell r="AC20">
            <v>2494</v>
          </cell>
          <cell r="AD20">
            <v>2622</v>
          </cell>
          <cell r="AE20">
            <v>2756</v>
          </cell>
          <cell r="AF20">
            <v>13</v>
          </cell>
          <cell r="AG20" t="str">
            <v>С.Петербург-Главн. - Великий Новгород</v>
          </cell>
        </row>
        <row r="21">
          <cell r="X21">
            <v>1770</v>
          </cell>
          <cell r="Y21">
            <v>1880</v>
          </cell>
          <cell r="Z21">
            <v>1986</v>
          </cell>
          <cell r="AA21">
            <v>2057</v>
          </cell>
          <cell r="AB21">
            <v>2205</v>
          </cell>
          <cell r="AC21">
            <v>2316</v>
          </cell>
          <cell r="AD21">
            <v>2435</v>
          </cell>
          <cell r="AE21">
            <v>2560</v>
          </cell>
          <cell r="AF21">
            <v>14</v>
          </cell>
          <cell r="AG21" t="str">
            <v>Южный - Великий Новгород</v>
          </cell>
        </row>
        <row r="22">
          <cell r="X22">
            <v>6612</v>
          </cell>
          <cell r="Y22">
            <v>7022</v>
          </cell>
          <cell r="Z22">
            <v>7419</v>
          </cell>
          <cell r="AA22">
            <v>7682</v>
          </cell>
          <cell r="AB22">
            <v>8235</v>
          </cell>
          <cell r="AC22">
            <v>8653</v>
          </cell>
          <cell r="AD22">
            <v>9097</v>
          </cell>
          <cell r="AE22">
            <v>9561</v>
          </cell>
          <cell r="AF22">
            <v>15</v>
          </cell>
          <cell r="AG22" t="str">
            <v>Москва-Пасс. - Великий Новгород</v>
          </cell>
        </row>
        <row r="23">
          <cell r="X23">
            <v>6585</v>
          </cell>
          <cell r="Y23">
            <v>6994</v>
          </cell>
          <cell r="Z23">
            <v>7390</v>
          </cell>
          <cell r="AA23">
            <v>7651</v>
          </cell>
          <cell r="AB23">
            <v>8202</v>
          </cell>
          <cell r="AC23">
            <v>8618</v>
          </cell>
          <cell r="AD23">
            <v>9060</v>
          </cell>
          <cell r="AE23">
            <v>9523</v>
          </cell>
          <cell r="AF23">
            <v>16</v>
          </cell>
          <cell r="AG23" t="str">
            <v>Рижская - Великий Новгород</v>
          </cell>
        </row>
        <row r="24">
          <cell r="X24">
            <v>6519</v>
          </cell>
          <cell r="Y24">
            <v>6923</v>
          </cell>
          <cell r="Z24">
            <v>7315</v>
          </cell>
          <cell r="AA24">
            <v>7574</v>
          </cell>
          <cell r="AB24">
            <v>8119</v>
          </cell>
          <cell r="AC24">
            <v>8531</v>
          </cell>
          <cell r="AD24">
            <v>8969</v>
          </cell>
          <cell r="AE24">
            <v>9427</v>
          </cell>
          <cell r="AF24">
            <v>17</v>
          </cell>
          <cell r="AG24" t="str">
            <v>П.-Разумовская - Великий Новгород</v>
          </cell>
        </row>
        <row r="25">
          <cell r="X25">
            <v>6077</v>
          </cell>
          <cell r="Y25">
            <v>6453</v>
          </cell>
          <cell r="Z25">
            <v>6819</v>
          </cell>
          <cell r="AA25">
            <v>7060</v>
          </cell>
          <cell r="AB25">
            <v>7568</v>
          </cell>
          <cell r="AC25">
            <v>7953</v>
          </cell>
          <cell r="AD25">
            <v>8360</v>
          </cell>
          <cell r="AE25">
            <v>8787</v>
          </cell>
          <cell r="AF25">
            <v>18</v>
          </cell>
          <cell r="AG25" t="str">
            <v>Крюково - Великий Новгород</v>
          </cell>
        </row>
        <row r="26">
          <cell r="X26">
            <v>6133</v>
          </cell>
          <cell r="Y26">
            <v>6513</v>
          </cell>
          <cell r="Z26">
            <v>6882</v>
          </cell>
          <cell r="AA26">
            <v>7126</v>
          </cell>
          <cell r="AB26">
            <v>7639</v>
          </cell>
          <cell r="AC26">
            <v>8027</v>
          </cell>
          <cell r="AD26">
            <v>8438</v>
          </cell>
          <cell r="AE26">
            <v>8869</v>
          </cell>
          <cell r="AF26">
            <v>19</v>
          </cell>
          <cell r="AG26" t="str">
            <v>С.Петербург-Главн. - Тверь</v>
          </cell>
        </row>
        <row r="27">
          <cell r="X27">
            <v>5997</v>
          </cell>
          <cell r="Y27">
            <v>6369</v>
          </cell>
          <cell r="Z27">
            <v>6730</v>
          </cell>
          <cell r="AA27">
            <v>6968</v>
          </cell>
          <cell r="AB27">
            <v>7470</v>
          </cell>
          <cell r="AC27">
            <v>7849</v>
          </cell>
          <cell r="AD27">
            <v>8252</v>
          </cell>
          <cell r="AE27">
            <v>8673</v>
          </cell>
          <cell r="AF27">
            <v>20</v>
          </cell>
          <cell r="AG27" t="str">
            <v>Южный - Тверь</v>
          </cell>
        </row>
        <row r="28">
          <cell r="X28">
            <v>3093</v>
          </cell>
          <cell r="Y28">
            <v>3284</v>
          </cell>
          <cell r="Z28">
            <v>3470</v>
          </cell>
          <cell r="AA28">
            <v>3593</v>
          </cell>
          <cell r="AB28">
            <v>3852</v>
          </cell>
          <cell r="AC28">
            <v>4047</v>
          </cell>
          <cell r="AD28">
            <v>4255</v>
          </cell>
          <cell r="AE28">
            <v>4472</v>
          </cell>
          <cell r="AF28">
            <v>21</v>
          </cell>
          <cell r="AG28" t="str">
            <v>Москва-Пасс. - Логовежь</v>
          </cell>
        </row>
        <row r="29">
          <cell r="X29">
            <v>1450</v>
          </cell>
          <cell r="Y29">
            <v>1540</v>
          </cell>
          <cell r="Z29">
            <v>1627</v>
          </cell>
          <cell r="AA29">
            <v>1684</v>
          </cell>
          <cell r="AB29">
            <v>1806</v>
          </cell>
          <cell r="AC29">
            <v>1897</v>
          </cell>
          <cell r="AD29">
            <v>1995</v>
          </cell>
          <cell r="AE29">
            <v>2096</v>
          </cell>
          <cell r="AF29">
            <v>22</v>
          </cell>
          <cell r="AG29" t="str">
            <v>Москва-Пасс. - Высоково</v>
          </cell>
        </row>
        <row r="30">
          <cell r="X30">
            <v>4228</v>
          </cell>
          <cell r="Y30">
            <v>4490</v>
          </cell>
          <cell r="Z30">
            <v>4744</v>
          </cell>
          <cell r="AA30">
            <v>4912</v>
          </cell>
          <cell r="AB30">
            <v>5266</v>
          </cell>
          <cell r="AC30">
            <v>5533</v>
          </cell>
          <cell r="AD30">
            <v>5817</v>
          </cell>
          <cell r="AE30">
            <v>6114</v>
          </cell>
          <cell r="AF30">
            <v>23</v>
          </cell>
          <cell r="AG30" t="str">
            <v>Великий Новгород - Тверь</v>
          </cell>
        </row>
        <row r="31">
          <cell r="X31">
            <v>584</v>
          </cell>
          <cell r="Y31">
            <v>621</v>
          </cell>
          <cell r="Z31">
            <v>656</v>
          </cell>
          <cell r="AA31">
            <v>679</v>
          </cell>
          <cell r="AB31">
            <v>728</v>
          </cell>
          <cell r="AC31">
            <v>765</v>
          </cell>
          <cell r="AD31">
            <v>804</v>
          </cell>
          <cell r="AE31">
            <v>845</v>
          </cell>
          <cell r="AF31">
            <v>24</v>
          </cell>
          <cell r="AG31" t="str">
            <v>С.Петербург-Главн. - Жаровская</v>
          </cell>
        </row>
        <row r="32">
          <cell r="X32">
            <v>5425</v>
          </cell>
          <cell r="Y32">
            <v>5761</v>
          </cell>
          <cell r="Z32">
            <v>6088</v>
          </cell>
          <cell r="AA32">
            <v>6303</v>
          </cell>
          <cell r="AB32">
            <v>6756</v>
          </cell>
          <cell r="AC32">
            <v>7100</v>
          </cell>
          <cell r="AD32">
            <v>7464</v>
          </cell>
          <cell r="AE32">
            <v>7845</v>
          </cell>
          <cell r="AF32">
            <v>25</v>
          </cell>
          <cell r="AG32" t="str">
            <v>С.Петербург-Главн. - Логовежь</v>
          </cell>
        </row>
        <row r="33">
          <cell r="X33">
            <v>4885</v>
          </cell>
          <cell r="Y33">
            <v>5188</v>
          </cell>
          <cell r="Z33">
            <v>5481</v>
          </cell>
          <cell r="AA33">
            <v>5675</v>
          </cell>
          <cell r="AB33">
            <v>6084</v>
          </cell>
          <cell r="AC33">
            <v>6393</v>
          </cell>
          <cell r="AD33">
            <v>6721</v>
          </cell>
          <cell r="AE33">
            <v>7064</v>
          </cell>
          <cell r="AF33">
            <v>26</v>
          </cell>
          <cell r="AG33" t="str">
            <v>Москва-Пасс. - Валдай</v>
          </cell>
        </row>
        <row r="34">
          <cell r="X34">
            <v>4361</v>
          </cell>
          <cell r="Y34">
            <v>4631</v>
          </cell>
          <cell r="Z34">
            <v>4894</v>
          </cell>
          <cell r="AA34">
            <v>5067</v>
          </cell>
          <cell r="AB34">
            <v>5432</v>
          </cell>
          <cell r="AC34">
            <v>5707</v>
          </cell>
          <cell r="AD34">
            <v>6000</v>
          </cell>
          <cell r="AE34">
            <v>6306</v>
          </cell>
          <cell r="AF34">
            <v>27</v>
          </cell>
          <cell r="AG34" t="str">
            <v>Москва-Пасс. - Выпозово</v>
          </cell>
        </row>
        <row r="35">
          <cell r="X35">
            <v>3582</v>
          </cell>
          <cell r="Y35">
            <v>3804</v>
          </cell>
          <cell r="Z35">
            <v>4020</v>
          </cell>
          <cell r="AA35">
            <v>4162</v>
          </cell>
          <cell r="AB35">
            <v>4462</v>
          </cell>
          <cell r="AC35">
            <v>4688</v>
          </cell>
          <cell r="AD35">
            <v>4929</v>
          </cell>
          <cell r="AE35">
            <v>5180</v>
          </cell>
          <cell r="AF35">
            <v>28</v>
          </cell>
          <cell r="AG35" t="str">
            <v>Москва-Пасс. - Садва</v>
          </cell>
        </row>
        <row r="36">
          <cell r="X36">
            <v>709</v>
          </cell>
          <cell r="Y36">
            <v>753</v>
          </cell>
          <cell r="Z36">
            <v>795</v>
          </cell>
          <cell r="AA36">
            <v>824</v>
          </cell>
          <cell r="AB36">
            <v>883</v>
          </cell>
          <cell r="AC36">
            <v>928</v>
          </cell>
          <cell r="AD36">
            <v>975</v>
          </cell>
          <cell r="AE36">
            <v>1025</v>
          </cell>
          <cell r="AF36">
            <v>29</v>
          </cell>
          <cell r="AG36" t="str">
            <v>Тверь - Логовежь</v>
          </cell>
        </row>
        <row r="37">
          <cell r="X37">
            <v>1727</v>
          </cell>
          <cell r="Y37">
            <v>1834</v>
          </cell>
          <cell r="Z37">
            <v>1938</v>
          </cell>
          <cell r="AA37">
            <v>2007</v>
          </cell>
          <cell r="AB37">
            <v>2151</v>
          </cell>
          <cell r="AC37">
            <v>2261</v>
          </cell>
          <cell r="AD37">
            <v>2376</v>
          </cell>
          <cell r="AE37">
            <v>2498</v>
          </cell>
          <cell r="AF37">
            <v>30</v>
          </cell>
          <cell r="AG37" t="str">
            <v>Великий Новгород - Валдай</v>
          </cell>
        </row>
        <row r="38">
          <cell r="X38">
            <v>3633</v>
          </cell>
          <cell r="Y38">
            <v>3858</v>
          </cell>
          <cell r="Z38">
            <v>4076</v>
          </cell>
          <cell r="AA38">
            <v>4221</v>
          </cell>
          <cell r="AB38">
            <v>4524</v>
          </cell>
          <cell r="AC38">
            <v>4754</v>
          </cell>
          <cell r="AD38">
            <v>4998</v>
          </cell>
          <cell r="AE38">
            <v>5253</v>
          </cell>
          <cell r="AF38">
            <v>31</v>
          </cell>
          <cell r="AG38" t="str">
            <v>С.Петербург-Главн. - Валдай</v>
          </cell>
        </row>
        <row r="39">
          <cell r="X39">
            <v>1977</v>
          </cell>
          <cell r="Y39">
            <v>2100</v>
          </cell>
          <cell r="Z39">
            <v>2219</v>
          </cell>
          <cell r="AA39">
            <v>2297</v>
          </cell>
          <cell r="AB39">
            <v>2463</v>
          </cell>
          <cell r="AC39">
            <v>2588</v>
          </cell>
          <cell r="AD39">
            <v>2720</v>
          </cell>
          <cell r="AE39">
            <v>2859</v>
          </cell>
          <cell r="AF39">
            <v>32</v>
          </cell>
          <cell r="AG39" t="str">
            <v>Тверь - Выпозово</v>
          </cell>
        </row>
        <row r="40">
          <cell r="X40">
            <v>935</v>
          </cell>
          <cell r="Y40">
            <v>993</v>
          </cell>
          <cell r="Z40">
            <v>1049</v>
          </cell>
          <cell r="AA40">
            <v>1086</v>
          </cell>
          <cell r="AB40">
            <v>1164</v>
          </cell>
          <cell r="AC40">
            <v>1223</v>
          </cell>
          <cell r="AD40">
            <v>1286</v>
          </cell>
          <cell r="AE40">
            <v>1352</v>
          </cell>
          <cell r="AF40">
            <v>33</v>
          </cell>
          <cell r="AG40" t="str">
            <v>Тверь - Высоково</v>
          </cell>
        </row>
        <row r="41">
          <cell r="X41">
            <v>3520</v>
          </cell>
          <cell r="Y41">
            <v>3738</v>
          </cell>
          <cell r="Z41">
            <v>3950</v>
          </cell>
          <cell r="AA41">
            <v>4089</v>
          </cell>
          <cell r="AB41">
            <v>4384</v>
          </cell>
          <cell r="AC41">
            <v>4606</v>
          </cell>
          <cell r="AD41">
            <v>4842</v>
          </cell>
          <cell r="AE41">
            <v>5090</v>
          </cell>
          <cell r="AF41">
            <v>34</v>
          </cell>
          <cell r="AG41" t="str">
            <v>Великий Новгород - Логовежь</v>
          </cell>
        </row>
        <row r="42">
          <cell r="X42">
            <v>1199</v>
          </cell>
          <cell r="Y42">
            <v>1273</v>
          </cell>
          <cell r="Z42">
            <v>1345</v>
          </cell>
          <cell r="AA42">
            <v>1393</v>
          </cell>
          <cell r="AB42">
            <v>1493</v>
          </cell>
          <cell r="AC42">
            <v>1569</v>
          </cell>
          <cell r="AD42">
            <v>1649</v>
          </cell>
          <cell r="AE42">
            <v>1733</v>
          </cell>
          <cell r="AF42">
            <v>35</v>
          </cell>
          <cell r="AG42" t="str">
            <v>Тверь - Садва</v>
          </cell>
        </row>
        <row r="43">
          <cell r="X43">
            <v>7067</v>
          </cell>
          <cell r="Y43">
            <v>7506</v>
          </cell>
          <cell r="Z43">
            <v>7931</v>
          </cell>
          <cell r="AA43">
            <v>8212</v>
          </cell>
          <cell r="AB43">
            <v>8803</v>
          </cell>
          <cell r="AC43">
            <v>9249</v>
          </cell>
          <cell r="AD43">
            <v>9724</v>
          </cell>
          <cell r="AE43">
            <v>10220</v>
          </cell>
          <cell r="AF43">
            <v>36</v>
          </cell>
          <cell r="AG43" t="str">
            <v>С.Петербург-Главн. - Высоково</v>
          </cell>
        </row>
        <row r="44">
          <cell r="X44">
            <v>4156</v>
          </cell>
          <cell r="Y44">
            <v>4414</v>
          </cell>
          <cell r="Z44">
            <v>4664</v>
          </cell>
          <cell r="AA44">
            <v>4829</v>
          </cell>
          <cell r="AB44">
            <v>5177</v>
          </cell>
          <cell r="AC44">
            <v>5439</v>
          </cell>
          <cell r="AD44">
            <v>5718</v>
          </cell>
          <cell r="AE44">
            <v>6010</v>
          </cell>
          <cell r="AF44">
            <v>37</v>
          </cell>
          <cell r="AG44" t="str">
            <v>С.Петербург-Главн. - Выпозово</v>
          </cell>
        </row>
        <row r="45">
          <cell r="X45">
            <v>1322</v>
          </cell>
          <cell r="Y45">
            <v>1404</v>
          </cell>
          <cell r="Z45">
            <v>1483</v>
          </cell>
          <cell r="AA45">
            <v>1536</v>
          </cell>
          <cell r="AB45">
            <v>1646</v>
          </cell>
          <cell r="AC45">
            <v>1730</v>
          </cell>
          <cell r="AD45">
            <v>1818</v>
          </cell>
          <cell r="AE45">
            <v>1911</v>
          </cell>
          <cell r="AF45">
            <v>38</v>
          </cell>
          <cell r="AG45" t="str">
            <v>Великий Новгород - Жаровская</v>
          </cell>
        </row>
        <row r="46">
          <cell r="X46">
            <v>7933</v>
          </cell>
          <cell r="Y46">
            <v>8425</v>
          </cell>
          <cell r="Z46">
            <v>8902</v>
          </cell>
          <cell r="AA46">
            <v>9217</v>
          </cell>
          <cell r="AB46">
            <v>9880</v>
          </cell>
          <cell r="AC46">
            <v>10382</v>
          </cell>
          <cell r="AD46">
            <v>10914</v>
          </cell>
          <cell r="AE46">
            <v>11472</v>
          </cell>
          <cell r="AF46">
            <v>39</v>
          </cell>
          <cell r="AG46" t="str">
            <v>Москва-Пасс. - Жаровская</v>
          </cell>
        </row>
        <row r="47">
          <cell r="X47">
            <v>4935</v>
          </cell>
          <cell r="Y47">
            <v>5241</v>
          </cell>
          <cell r="Z47">
            <v>5538</v>
          </cell>
          <cell r="AA47">
            <v>5734</v>
          </cell>
          <cell r="AB47">
            <v>6146</v>
          </cell>
          <cell r="AC47">
            <v>6459</v>
          </cell>
          <cell r="AD47">
            <v>6790</v>
          </cell>
          <cell r="AE47">
            <v>7136</v>
          </cell>
          <cell r="AF47">
            <v>40</v>
          </cell>
          <cell r="AG47" t="str">
            <v>С.Петербург-Главн. - Садва</v>
          </cell>
        </row>
        <row r="48">
          <cell r="X48">
            <v>2501</v>
          </cell>
          <cell r="Y48">
            <v>2656</v>
          </cell>
          <cell r="Z48">
            <v>2807</v>
          </cell>
          <cell r="AA48">
            <v>2906</v>
          </cell>
          <cell r="AB48">
            <v>3115</v>
          </cell>
          <cell r="AC48">
            <v>3273</v>
          </cell>
          <cell r="AD48">
            <v>3441</v>
          </cell>
          <cell r="AE48">
            <v>3617</v>
          </cell>
          <cell r="AF48">
            <v>41</v>
          </cell>
          <cell r="AG48" t="str">
            <v>Тверь - Валдай</v>
          </cell>
        </row>
        <row r="49">
          <cell r="X49">
            <v>2251</v>
          </cell>
          <cell r="Y49">
            <v>2391</v>
          </cell>
          <cell r="Z49">
            <v>2526</v>
          </cell>
          <cell r="AA49">
            <v>2615</v>
          </cell>
          <cell r="AB49">
            <v>2804</v>
          </cell>
          <cell r="AC49">
            <v>2946</v>
          </cell>
          <cell r="AD49">
            <v>3097</v>
          </cell>
          <cell r="AE49">
            <v>3255</v>
          </cell>
          <cell r="AF49">
            <v>42</v>
          </cell>
          <cell r="AG49" t="str">
            <v>Великий Новгород - Выпозово</v>
          </cell>
        </row>
        <row r="50">
          <cell r="X50">
            <v>3030</v>
          </cell>
          <cell r="Y50">
            <v>3218</v>
          </cell>
          <cell r="Z50">
            <v>3400</v>
          </cell>
          <cell r="AA50">
            <v>3520</v>
          </cell>
          <cell r="AB50">
            <v>3773</v>
          </cell>
          <cell r="AC50">
            <v>3965</v>
          </cell>
          <cell r="AD50">
            <v>4168</v>
          </cell>
          <cell r="AE50">
            <v>4381</v>
          </cell>
          <cell r="AF50">
            <v>43</v>
          </cell>
          <cell r="AG50" t="str">
            <v>Великий Новгород - Садва</v>
          </cell>
        </row>
        <row r="51">
          <cell r="X51">
            <v>8217.7430669839214</v>
          </cell>
          <cell r="Y51">
            <v>8727.3566874354274</v>
          </cell>
          <cell r="Z51">
            <v>9221.6256842068706</v>
          </cell>
          <cell r="AA51">
            <v>9548.380984216441</v>
          </cell>
          <cell r="AB51">
            <v>10235.421201677924</v>
          </cell>
          <cell r="AC51">
            <v>10754.917224132811</v>
          </cell>
          <cell r="AD51">
            <v>11306.649103459229</v>
          </cell>
          <cell r="AE51">
            <v>11883.769859812188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8873-01EA-417D-AF2F-B53159CD957F}">
  <sheetPr codeName="Лист2"/>
  <dimension ref="A2:O49"/>
  <sheetViews>
    <sheetView tabSelected="1" workbookViewId="0">
      <selection activeCell="C39" sqref="C39"/>
    </sheetView>
  </sheetViews>
  <sheetFormatPr defaultRowHeight="15" x14ac:dyDescent="0.25"/>
  <cols>
    <col min="1" max="1" width="32.85546875" style="2" customWidth="1"/>
    <col min="2" max="2" width="18" style="2" customWidth="1"/>
    <col min="3" max="3" width="13.140625" style="2" customWidth="1"/>
    <col min="4" max="4" width="14" style="2" bestFit="1" customWidth="1"/>
    <col min="5" max="5" width="14" style="2" customWidth="1"/>
    <col min="6" max="6" width="15.140625" style="2" customWidth="1"/>
    <col min="7" max="7" width="21" style="2" customWidth="1"/>
    <col min="8" max="8" width="19.140625" style="2" customWidth="1"/>
    <col min="9" max="15" width="10.5703125" style="2" bestFit="1" customWidth="1"/>
    <col min="16" max="16384" width="9.140625" style="2"/>
  </cols>
  <sheetData>
    <row r="2" spans="1:13" ht="17.25" customHeight="1" x14ac:dyDescent="0.25">
      <c r="A2" s="2" t="s">
        <v>6</v>
      </c>
      <c r="H2" s="2">
        <v>36</v>
      </c>
      <c r="I2" s="2" t="str">
        <f>VLOOKUP(H2,[1]техлист2!AF:AG,2,0)</f>
        <v>С.Петербург-Главн. - Высоково</v>
      </c>
      <c r="J2" s="2" t="str">
        <f>VLOOKUP(I2,[1]техлист!D:E,2,0)</f>
        <v>Санкт-Петербург - Высоково</v>
      </c>
    </row>
    <row r="3" spans="1:13" ht="18.75" customHeight="1" x14ac:dyDescent="0.25">
      <c r="A3" s="2" t="s">
        <v>0</v>
      </c>
      <c r="F3" s="2">
        <v>4.2380000000000004</v>
      </c>
      <c r="H3" s="2">
        <v>3</v>
      </c>
      <c r="I3" s="2">
        <f>INDEX([1]техлист!M2:M9,MATCH(H3,[1]техлист!N2:N9,0))</f>
        <v>2030</v>
      </c>
    </row>
    <row r="4" spans="1:13" x14ac:dyDescent="0.25">
      <c r="A4" s="2" t="s">
        <v>7</v>
      </c>
      <c r="B4" s="3">
        <f t="array" ref="B4">INDEX([1]техлист2!X8:AE51,H2,H3)</f>
        <v>7931</v>
      </c>
      <c r="F4" s="2">
        <v>2.875</v>
      </c>
    </row>
    <row r="5" spans="1:13" x14ac:dyDescent="0.25">
      <c r="A5" s="2" t="s">
        <v>8</v>
      </c>
      <c r="B5" s="3">
        <f>40%*B4</f>
        <v>3172.4</v>
      </c>
    </row>
    <row r="6" spans="1:13" x14ac:dyDescent="0.25">
      <c r="A6" s="2" t="s">
        <v>9</v>
      </c>
      <c r="B6" s="3">
        <f>60%*B4</f>
        <v>4758.5999999999995</v>
      </c>
    </row>
    <row r="8" spans="1:13" x14ac:dyDescent="0.25"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</row>
    <row r="9" spans="1:13" x14ac:dyDescent="0.25">
      <c r="A9" s="1" t="s">
        <v>1</v>
      </c>
      <c r="B9" s="3">
        <f>$B$5+$B$6*$B$17*G9</f>
        <v>4175.7850052282756</v>
      </c>
      <c r="C9" s="3">
        <f>INDEX([1]ЦЭИ_тарифы!$D$2:$AP$145,MATCH($J$2&amp;A9,[1]ЦЭИ_тарифы!$C$2:$C$145,0),MATCH($I$3,[1]ЦЭИ_тарифы!$D$1:$AP$1,0))</f>
        <v>5346.8058893063826</v>
      </c>
      <c r="D9" s="3">
        <v>6094</v>
      </c>
      <c r="E9" s="3">
        <v>5200</v>
      </c>
      <c r="F9" s="2">
        <v>-1.4</v>
      </c>
      <c r="G9" s="4">
        <f>$F$3+$F$4*F9</f>
        <v>0.21300000000000097</v>
      </c>
      <c r="H9" s="5">
        <v>90</v>
      </c>
      <c r="I9" s="2">
        <v>136</v>
      </c>
      <c r="J9" s="6" t="str">
        <f>IF(B9&lt;C9,"✅","❌")</f>
        <v>✅</v>
      </c>
      <c r="K9" s="7">
        <f>H9/I9</f>
        <v>0.66176470588235292</v>
      </c>
      <c r="M9" s="8"/>
    </row>
    <row r="10" spans="1:13" x14ac:dyDescent="0.25">
      <c r="A10" s="1" t="s">
        <v>2</v>
      </c>
      <c r="B10" s="3">
        <f>$B$5+$B$6*$B$17*G10</f>
        <v>7697.0539789753748</v>
      </c>
      <c r="C10" s="3">
        <f>INDEX([1]ЦЭИ_тарифы!$D$2:$AP$145,MATCH($J$2&amp;A10,[1]ЦЭИ_тарифы!$C$2:$C$145,0),MATCH($I$3,[1]ЦЭИ_тарифы!$D$1:$AP$1,0))</f>
        <v>7349.1978124837087</v>
      </c>
      <c r="D10" s="3">
        <v>8000</v>
      </c>
      <c r="E10" s="3">
        <v>8000</v>
      </c>
      <c r="F10" s="2">
        <v>-1.1399999999999999</v>
      </c>
      <c r="G10" s="4">
        <f t="shared" ref="G10:G12" si="0">$F$3+$F$4*F10</f>
        <v>0.96050000000000058</v>
      </c>
      <c r="H10" s="5">
        <v>5</v>
      </c>
      <c r="I10" s="2">
        <v>230</v>
      </c>
      <c r="J10" s="6" t="str">
        <f>IF(B10&lt;C10,"✅","❌")</f>
        <v>❌</v>
      </c>
      <c r="K10" s="7">
        <f>H10/I10</f>
        <v>2.1739130434782608E-2</v>
      </c>
      <c r="M10" s="8"/>
    </row>
    <row r="11" spans="1:13" x14ac:dyDescent="0.25">
      <c r="A11" s="1" t="s">
        <v>3</v>
      </c>
      <c r="B11" s="3">
        <f>$B$5+$B$6*$B$17*G11</f>
        <v>15687.625880939948</v>
      </c>
      <c r="C11" s="3">
        <f>INDEX([1]ЦЭИ_тарифы!$D$2:$AP$145,MATCH($J$2&amp;A11,[1]ЦЭИ_тарифы!$C$2:$C$145,0),MATCH($I$3,[1]ЦЭИ_тарифы!$D$1:$AP$1,0))</f>
        <v>15685.013349008719</v>
      </c>
      <c r="D11" s="3">
        <v>20000</v>
      </c>
      <c r="E11" s="3">
        <v>20000</v>
      </c>
      <c r="F11" s="2">
        <v>-0.55000000000000004</v>
      </c>
      <c r="G11" s="4">
        <f t="shared" si="0"/>
        <v>2.6567500000000006</v>
      </c>
      <c r="H11" s="5">
        <v>7</v>
      </c>
      <c r="I11" s="2">
        <v>68</v>
      </c>
      <c r="J11" s="6" t="str">
        <f>IF(B11&lt;C11,"✅","❌")</f>
        <v>❌</v>
      </c>
      <c r="K11" s="7">
        <f>H11/I11</f>
        <v>0.10294117647058823</v>
      </c>
      <c r="M11" s="8"/>
    </row>
    <row r="12" spans="1:13" x14ac:dyDescent="0.25">
      <c r="A12" s="1" t="s">
        <v>4</v>
      </c>
      <c r="B12" s="3">
        <f>$B$5+$B$6*$B$17*G12</f>
        <v>21782.129873963779</v>
      </c>
      <c r="C12" s="3">
        <f>INDEX([1]ЦЭИ_тарифы!$D$2:$AP$145,MATCH($J$2&amp;A12,[1]ЦЭИ_тарифы!$C$2:$C$145,0),MATCH($I$3,[1]ЦЭИ_тарифы!$D$1:$AP$1,0))</f>
        <v>24953.4417899941</v>
      </c>
      <c r="D12" s="3">
        <v>32000</v>
      </c>
      <c r="E12" s="3"/>
      <c r="F12" s="2">
        <v>-0.1</v>
      </c>
      <c r="G12" s="4">
        <f t="shared" si="0"/>
        <v>3.9505000000000003</v>
      </c>
      <c r="H12" s="5">
        <v>10</v>
      </c>
      <c r="I12" s="2">
        <v>18</v>
      </c>
      <c r="J12" s="6" t="str">
        <f>IF(B12&lt;C12,"✅","❌")</f>
        <v>✅</v>
      </c>
      <c r="K12" s="7">
        <f>H12/I12</f>
        <v>0.55555555555555558</v>
      </c>
      <c r="M12" s="8"/>
    </row>
    <row r="13" spans="1:13" x14ac:dyDescent="0.25">
      <c r="A13" s="1" t="s">
        <v>5</v>
      </c>
      <c r="B13" s="3">
        <f>SUMPRODUCT(B9:B12,H9:H12)/SUM(H9:H12)</f>
        <v>6624.4696452824928</v>
      </c>
      <c r="C13" s="3">
        <f>SUMPRODUCT(C9:C12,H9:H12)/SUM(H9:H12)</f>
        <v>7832.9288432410258</v>
      </c>
      <c r="H13" s="2">
        <f>SUM(H9:H12)</f>
        <v>112</v>
      </c>
      <c r="I13" s="2">
        <f>SUM(I9:I12)</f>
        <v>452</v>
      </c>
    </row>
    <row r="14" spans="1:13" x14ac:dyDescent="0.25">
      <c r="H14" s="9">
        <f>H13/I13</f>
        <v>0.24778761061946902</v>
      </c>
    </row>
    <row r="15" spans="1:13" x14ac:dyDescent="0.25">
      <c r="A15" s="2" t="s">
        <v>19</v>
      </c>
      <c r="B15" s="10">
        <v>0.8</v>
      </c>
    </row>
    <row r="16" spans="1:13" x14ac:dyDescent="0.25">
      <c r="A16" s="2" t="s">
        <v>20</v>
      </c>
      <c r="B16" s="10">
        <f>D33</f>
        <v>1.2374248003815169</v>
      </c>
      <c r="C16" s="8"/>
    </row>
    <row r="17" spans="1:15" x14ac:dyDescent="0.25">
      <c r="A17" s="2" t="s">
        <v>21</v>
      </c>
      <c r="B17" s="10">
        <f>B15*B16</f>
        <v>0.98993984030521354</v>
      </c>
    </row>
    <row r="18" spans="1:15" x14ac:dyDescent="0.25">
      <c r="A18" s="2" t="s">
        <v>22</v>
      </c>
      <c r="B18" s="2">
        <v>8</v>
      </c>
    </row>
    <row r="20" spans="1:15" x14ac:dyDescent="0.25">
      <c r="A20" s="11" t="s">
        <v>23</v>
      </c>
    </row>
    <row r="21" spans="1:15" x14ac:dyDescent="0.25">
      <c r="A21" s="2" t="s">
        <v>24</v>
      </c>
      <c r="B21" s="2">
        <v>0.5</v>
      </c>
    </row>
    <row r="22" spans="1:15" x14ac:dyDescent="0.25">
      <c r="A22" s="2" t="s">
        <v>25</v>
      </c>
      <c r="B22" s="2">
        <v>2.5</v>
      </c>
    </row>
    <row r="23" spans="1:15" x14ac:dyDescent="0.25">
      <c r="A23" s="2" t="s">
        <v>26</v>
      </c>
      <c r="B23" s="2">
        <v>0.6</v>
      </c>
      <c r="C23" s="2" t="s">
        <v>27</v>
      </c>
    </row>
    <row r="24" spans="1:15" x14ac:dyDescent="0.25">
      <c r="A24" s="2" t="s">
        <v>28</v>
      </c>
      <c r="B24" s="2">
        <v>1</v>
      </c>
      <c r="C24" s="2" t="s">
        <v>29</v>
      </c>
    </row>
    <row r="25" spans="1:15" x14ac:dyDescent="0.25">
      <c r="A25" s="2" t="s">
        <v>30</v>
      </c>
      <c r="B25" s="2">
        <v>2</v>
      </c>
      <c r="C25" s="2" t="s">
        <v>31</v>
      </c>
    </row>
    <row r="27" spans="1:15" x14ac:dyDescent="0.25">
      <c r="C27" s="8"/>
      <c r="D27" s="8"/>
      <c r="E27" s="8"/>
      <c r="F27" s="8"/>
      <c r="G27" s="8"/>
      <c r="H27" s="8"/>
      <c r="I27" s="8"/>
      <c r="J27" s="8"/>
      <c r="K27" s="8"/>
      <c r="L27" s="11" t="s">
        <v>32</v>
      </c>
      <c r="M27" s="2">
        <f>SUMPRODUCT(B29:J36, C55:K62)</f>
        <v>0</v>
      </c>
    </row>
    <row r="28" spans="1:15" x14ac:dyDescent="0.25">
      <c r="A28" s="11" t="s">
        <v>33</v>
      </c>
      <c r="B28" s="11" t="s">
        <v>34</v>
      </c>
      <c r="C28" s="11" t="s">
        <v>35</v>
      </c>
      <c r="D28" s="11" t="s">
        <v>36</v>
      </c>
      <c r="E28" s="11" t="s">
        <v>37</v>
      </c>
      <c r="F28" s="11" t="s">
        <v>38</v>
      </c>
      <c r="G28" s="11" t="s">
        <v>39</v>
      </c>
      <c r="H28" s="11" t="s">
        <v>40</v>
      </c>
      <c r="I28" s="11" t="s">
        <v>41</v>
      </c>
      <c r="J28" s="11" t="s">
        <v>42</v>
      </c>
      <c r="K28" s="12">
        <v>1.01</v>
      </c>
      <c r="L28" s="12">
        <v>1.02</v>
      </c>
      <c r="M28" s="12">
        <v>1.03</v>
      </c>
      <c r="N28" s="12">
        <v>1.04</v>
      </c>
      <c r="O28" s="12">
        <v>1.05</v>
      </c>
    </row>
    <row r="29" spans="1:15" x14ac:dyDescent="0.25">
      <c r="A29" s="11" t="s">
        <v>43</v>
      </c>
      <c r="B29" s="8">
        <f>$B$21+($B$22-$B$21)*($B$23*POWER((COLUMN()-COLUMN($B$29)+1)/13,$B$24)+(1-$B$23)*(1-EXP(-$B$25*((8-(ROW()-ROW($B$29)+1))/7))))</f>
        <v>1.2840394657184022</v>
      </c>
      <c r="C29" s="8">
        <f t="shared" ref="C29:O29" si="1">$B$21+($B$22-$B$21)*($B$23*POWER((COLUMN()-COLUMN($B$29)+1)/13,$B$24)+(1-$B$23)*(1-EXP(-$B$25*((8-(ROW()-ROW($B$29)+1))/7))))</f>
        <v>1.3763471580260944</v>
      </c>
      <c r="D29" s="8">
        <f t="shared" si="1"/>
        <v>1.4686548503337868</v>
      </c>
      <c r="E29" s="8">
        <f t="shared" si="1"/>
        <v>1.5609625426414793</v>
      </c>
      <c r="F29" s="8">
        <f t="shared" si="1"/>
        <v>1.6532702349491715</v>
      </c>
      <c r="G29" s="8">
        <f t="shared" si="1"/>
        <v>1.7455779272568637</v>
      </c>
      <c r="H29" s="8">
        <f t="shared" si="1"/>
        <v>1.8378856195645561</v>
      </c>
      <c r="I29" s="8">
        <f t="shared" si="1"/>
        <v>1.9301933118722485</v>
      </c>
      <c r="J29" s="8">
        <f t="shared" si="1"/>
        <v>2.0225010041799405</v>
      </c>
      <c r="K29" s="8">
        <f t="shared" si="1"/>
        <v>2.1148086964876329</v>
      </c>
      <c r="L29" s="8">
        <f t="shared" si="1"/>
        <v>2.2071163887953253</v>
      </c>
      <c r="M29" s="8">
        <f t="shared" si="1"/>
        <v>2.2994240811030178</v>
      </c>
      <c r="N29" s="8">
        <f t="shared" si="1"/>
        <v>2.3917317734107097</v>
      </c>
      <c r="O29" s="8">
        <f t="shared" si="1"/>
        <v>2.4840394657184022</v>
      </c>
    </row>
    <row r="30" spans="1:15" x14ac:dyDescent="0.25">
      <c r="A30" s="13" t="s">
        <v>44</v>
      </c>
      <c r="B30" s="8">
        <f t="shared" ref="B30:O36" si="2">$B$21+($B$22-$B$21)*($B$23*POWER((COLUMN()-COLUMN($B$29)+1)/13,$B$24)+(1-$B$23)*(1-EXP(-$B$25*((8-(ROW()-ROW($B$29)+1))/7))))</f>
        <v>1.2482338425893305</v>
      </c>
      <c r="C30" s="8">
        <f t="shared" si="2"/>
        <v>1.3405415348970227</v>
      </c>
      <c r="D30" s="8">
        <f t="shared" si="2"/>
        <v>1.4328492272047151</v>
      </c>
      <c r="E30" s="8">
        <f t="shared" si="2"/>
        <v>1.5251569195124075</v>
      </c>
      <c r="F30" s="8">
        <f t="shared" si="2"/>
        <v>1.6174646118200997</v>
      </c>
      <c r="G30" s="8">
        <f t="shared" si="2"/>
        <v>1.7097723041277919</v>
      </c>
      <c r="H30" s="8">
        <f t="shared" si="2"/>
        <v>1.8020799964354843</v>
      </c>
      <c r="I30" s="8">
        <f t="shared" si="2"/>
        <v>1.8943876887431768</v>
      </c>
      <c r="J30" s="8">
        <f t="shared" si="2"/>
        <v>1.9866953810508687</v>
      </c>
      <c r="K30" s="8">
        <f t="shared" si="2"/>
        <v>2.0790030733585612</v>
      </c>
      <c r="L30" s="8">
        <f t="shared" si="2"/>
        <v>2.1713107656662536</v>
      </c>
      <c r="M30" s="8">
        <f t="shared" si="2"/>
        <v>2.263618457973946</v>
      </c>
      <c r="N30" s="8">
        <f t="shared" si="2"/>
        <v>2.355926150281638</v>
      </c>
      <c r="O30" s="8">
        <f t="shared" si="2"/>
        <v>2.4482338425893304</v>
      </c>
    </row>
    <row r="31" spans="1:15" x14ac:dyDescent="0.25">
      <c r="A31" s="14" t="s">
        <v>45</v>
      </c>
      <c r="B31" s="8">
        <f t="shared" si="2"/>
        <v>1.2005868631542718</v>
      </c>
      <c r="C31" s="8">
        <f t="shared" si="2"/>
        <v>1.292894555461964</v>
      </c>
      <c r="D31" s="8">
        <f t="shared" si="2"/>
        <v>1.3852022477696564</v>
      </c>
      <c r="E31" s="8">
        <f t="shared" si="2"/>
        <v>1.4775099400773488</v>
      </c>
      <c r="F31" s="8">
        <f t="shared" si="2"/>
        <v>1.569817632385041</v>
      </c>
      <c r="G31" s="8">
        <f t="shared" si="2"/>
        <v>1.6621253246927332</v>
      </c>
      <c r="H31" s="8">
        <f t="shared" si="2"/>
        <v>1.7544330170004256</v>
      </c>
      <c r="I31" s="8">
        <f t="shared" si="2"/>
        <v>1.8467407093081181</v>
      </c>
      <c r="J31" s="8">
        <f t="shared" si="2"/>
        <v>1.93904840161581</v>
      </c>
      <c r="K31" s="8">
        <f t="shared" si="2"/>
        <v>2.0313560939235025</v>
      </c>
      <c r="L31" s="8">
        <f t="shared" si="2"/>
        <v>2.1236637862311949</v>
      </c>
      <c r="M31" s="8">
        <f t="shared" si="2"/>
        <v>2.2159714785388873</v>
      </c>
      <c r="N31" s="8">
        <f t="shared" si="2"/>
        <v>2.3082791708465793</v>
      </c>
      <c r="O31" s="8">
        <f t="shared" si="2"/>
        <v>2.4005868631542717</v>
      </c>
    </row>
    <row r="32" spans="1:15" x14ac:dyDescent="0.25">
      <c r="A32" s="14" t="s">
        <v>46</v>
      </c>
      <c r="B32" s="8">
        <f t="shared" si="2"/>
        <v>1.1371824464485161</v>
      </c>
      <c r="C32" s="8">
        <f t="shared" si="2"/>
        <v>1.2294901387562083</v>
      </c>
      <c r="D32" s="8">
        <f t="shared" si="2"/>
        <v>1.3217978310639005</v>
      </c>
      <c r="E32" s="8">
        <f t="shared" si="2"/>
        <v>1.4141055233715929</v>
      </c>
      <c r="F32" s="8">
        <f t="shared" si="2"/>
        <v>1.5064132156792853</v>
      </c>
      <c r="G32" s="8">
        <f t="shared" si="2"/>
        <v>1.5987209079869775</v>
      </c>
      <c r="H32" s="8">
        <f t="shared" si="2"/>
        <v>1.6910286002946697</v>
      </c>
      <c r="I32" s="8">
        <f t="shared" si="2"/>
        <v>1.7833362926023621</v>
      </c>
      <c r="J32" s="8">
        <f t="shared" si="2"/>
        <v>1.8756439849100544</v>
      </c>
      <c r="K32" s="8">
        <f t="shared" si="2"/>
        <v>1.9679516772177468</v>
      </c>
      <c r="L32" s="8">
        <f t="shared" si="2"/>
        <v>2.060259369525439</v>
      </c>
      <c r="M32" s="8">
        <f t="shared" si="2"/>
        <v>2.1525670618331314</v>
      </c>
      <c r="N32" s="8">
        <f t="shared" si="2"/>
        <v>2.2448747541408238</v>
      </c>
      <c r="O32" s="8">
        <f t="shared" si="2"/>
        <v>2.3371824464485158</v>
      </c>
    </row>
    <row r="33" spans="1:15" x14ac:dyDescent="0.25">
      <c r="A33" s="14" t="s">
        <v>47</v>
      </c>
      <c r="B33" s="8">
        <f t="shared" si="2"/>
        <v>1.0528094157661323</v>
      </c>
      <c r="C33" s="8">
        <f t="shared" si="2"/>
        <v>1.1451171080738247</v>
      </c>
      <c r="D33" s="8">
        <f t="shared" si="2"/>
        <v>1.2374248003815169</v>
      </c>
      <c r="E33" s="8">
        <f t="shared" si="2"/>
        <v>1.3297324926892093</v>
      </c>
      <c r="F33" s="8">
        <f t="shared" si="2"/>
        <v>1.4220401849969015</v>
      </c>
      <c r="G33" s="8">
        <f t="shared" si="2"/>
        <v>1.514347877304594</v>
      </c>
      <c r="H33" s="8">
        <f t="shared" si="2"/>
        <v>1.6066555696122862</v>
      </c>
      <c r="I33" s="8">
        <f t="shared" si="2"/>
        <v>1.6989632619199786</v>
      </c>
      <c r="J33" s="8">
        <f t="shared" si="2"/>
        <v>1.7912709542276708</v>
      </c>
      <c r="K33" s="8">
        <f t="shared" si="2"/>
        <v>1.8835786465353632</v>
      </c>
      <c r="L33" s="8">
        <f t="shared" si="2"/>
        <v>1.9758863388430554</v>
      </c>
      <c r="M33" s="8">
        <f t="shared" si="2"/>
        <v>2.0681940311507478</v>
      </c>
      <c r="N33" s="8">
        <f t="shared" si="2"/>
        <v>2.1605017234584398</v>
      </c>
      <c r="O33" s="8">
        <f t="shared" si="2"/>
        <v>2.2528094157661323</v>
      </c>
    </row>
    <row r="34" spans="1:15" x14ac:dyDescent="0.25">
      <c r="A34" s="14" t="s">
        <v>48</v>
      </c>
      <c r="B34" s="8">
        <f t="shared" si="2"/>
        <v>0.94053319470148489</v>
      </c>
      <c r="C34" s="8">
        <f t="shared" si="2"/>
        <v>1.0328408870091772</v>
      </c>
      <c r="D34" s="8">
        <f t="shared" si="2"/>
        <v>1.1251485793168694</v>
      </c>
      <c r="E34" s="8">
        <f t="shared" si="2"/>
        <v>1.2174562716245618</v>
      </c>
      <c r="F34" s="8">
        <f t="shared" si="2"/>
        <v>1.3097639639322542</v>
      </c>
      <c r="G34" s="8">
        <f t="shared" si="2"/>
        <v>1.4020716562399465</v>
      </c>
      <c r="H34" s="8">
        <f t="shared" si="2"/>
        <v>1.4943793485476387</v>
      </c>
      <c r="I34" s="8">
        <f t="shared" si="2"/>
        <v>1.5866870408553311</v>
      </c>
      <c r="J34" s="8">
        <f t="shared" si="2"/>
        <v>1.6789947331630233</v>
      </c>
      <c r="K34" s="8">
        <f t="shared" si="2"/>
        <v>1.7713024254707157</v>
      </c>
      <c r="L34" s="8">
        <f t="shared" si="2"/>
        <v>1.8636101177784079</v>
      </c>
      <c r="M34" s="8">
        <f t="shared" si="2"/>
        <v>1.9559178100861003</v>
      </c>
      <c r="N34" s="8">
        <f t="shared" si="2"/>
        <v>2.0482255023937928</v>
      </c>
      <c r="O34" s="8">
        <f t="shared" si="2"/>
        <v>2.1405331947014847</v>
      </c>
    </row>
    <row r="35" spans="1:15" x14ac:dyDescent="0.25">
      <c r="A35" s="14" t="s">
        <v>49</v>
      </c>
      <c r="B35" s="8">
        <f t="shared" si="2"/>
        <v>0.79112585784746359</v>
      </c>
      <c r="C35" s="8">
        <f t="shared" si="2"/>
        <v>0.88343355015515579</v>
      </c>
      <c r="D35" s="8">
        <f t="shared" si="2"/>
        <v>0.97574124246284821</v>
      </c>
      <c r="E35" s="8">
        <f t="shared" si="2"/>
        <v>1.0680489347705404</v>
      </c>
      <c r="F35" s="8">
        <f t="shared" si="2"/>
        <v>1.1603566270782328</v>
      </c>
      <c r="G35" s="8">
        <f t="shared" si="2"/>
        <v>1.252664319385925</v>
      </c>
      <c r="H35" s="8">
        <f t="shared" si="2"/>
        <v>1.3449720116936172</v>
      </c>
      <c r="I35" s="8">
        <f t="shared" si="2"/>
        <v>1.4372797040013097</v>
      </c>
      <c r="J35" s="8">
        <f t="shared" si="2"/>
        <v>1.5295873963090019</v>
      </c>
      <c r="K35" s="8">
        <f t="shared" si="2"/>
        <v>1.6218950886166943</v>
      </c>
      <c r="L35" s="8">
        <f t="shared" si="2"/>
        <v>1.7142027809243865</v>
      </c>
      <c r="M35" s="8">
        <f t="shared" si="2"/>
        <v>1.8065104732320789</v>
      </c>
      <c r="N35" s="8">
        <f t="shared" si="2"/>
        <v>1.8988181655397711</v>
      </c>
      <c r="O35" s="8">
        <f t="shared" si="2"/>
        <v>1.9911258578474633</v>
      </c>
    </row>
    <row r="36" spans="1:15" x14ac:dyDescent="0.25">
      <c r="A36" s="14" t="s">
        <v>50</v>
      </c>
      <c r="B36" s="8">
        <f t="shared" si="2"/>
        <v>0.59230769230769231</v>
      </c>
      <c r="C36" s="8">
        <f t="shared" si="2"/>
        <v>0.68461538461538463</v>
      </c>
      <c r="D36" s="8">
        <f t="shared" si="2"/>
        <v>0.77692307692307694</v>
      </c>
      <c r="E36" s="8">
        <f t="shared" si="2"/>
        <v>0.86923076923076925</v>
      </c>
      <c r="F36" s="8">
        <f t="shared" si="2"/>
        <v>0.96153846153846156</v>
      </c>
      <c r="G36" s="8">
        <f t="shared" si="2"/>
        <v>1.0538461538461539</v>
      </c>
      <c r="H36" s="8">
        <f t="shared" si="2"/>
        <v>1.1461538461538461</v>
      </c>
      <c r="I36" s="8">
        <f t="shared" si="2"/>
        <v>1.2384615384615385</v>
      </c>
      <c r="J36" s="8">
        <f t="shared" si="2"/>
        <v>1.3307692307692307</v>
      </c>
      <c r="K36" s="8">
        <f t="shared" si="2"/>
        <v>1.4230769230769231</v>
      </c>
      <c r="L36" s="8">
        <f t="shared" si="2"/>
        <v>1.5153846153846153</v>
      </c>
      <c r="M36" s="8">
        <f t="shared" si="2"/>
        <v>1.6076923076923078</v>
      </c>
      <c r="N36" s="8">
        <f t="shared" si="2"/>
        <v>1.7</v>
      </c>
      <c r="O36" s="8">
        <f t="shared" si="2"/>
        <v>1.7923076923076922</v>
      </c>
    </row>
    <row r="37" spans="1:15" x14ac:dyDescent="0.25">
      <c r="B37" s="15">
        <f>B4/B13</f>
        <v>1.1972279178074174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40" spans="1:15" x14ac:dyDescent="0.25">
      <c r="B40" s="2">
        <f>$B$21+($B$22-$B$21)*($B$23*POWER((COLUMN()-COLUMN($B$29)+1)/13,$B$24)+(1-$B$23)*(1-EXP(-$B$25*((8-(ROW()-ROW($B$29)+1))/7))))*B$37</f>
        <v>-1.4350365252762614</v>
      </c>
    </row>
    <row r="41" spans="1:15" x14ac:dyDescent="0.25">
      <c r="B41" s="2">
        <f>B4/B13</f>
        <v>1.1972279178074174</v>
      </c>
    </row>
    <row r="42" spans="1:15" x14ac:dyDescent="0.25">
      <c r="B42" s="8">
        <f>B29*$B$41</f>
        <v>1.5372878959245915</v>
      </c>
      <c r="C42" s="8">
        <f t="shared" ref="C42:O42" si="3">C29*$B$41</f>
        <v>1.6478012421837376</v>
      </c>
      <c r="D42" s="8">
        <f t="shared" si="3"/>
        <v>1.7583145884428839</v>
      </c>
      <c r="E42" s="8">
        <f t="shared" si="3"/>
        <v>1.8688279347020302</v>
      </c>
      <c r="F42" s="8">
        <f t="shared" si="3"/>
        <v>1.9793412809611763</v>
      </c>
      <c r="G42" s="8">
        <f t="shared" si="3"/>
        <v>2.0898546272203227</v>
      </c>
      <c r="H42" s="8">
        <f t="shared" si="3"/>
        <v>2.200367973479469</v>
      </c>
      <c r="I42" s="8">
        <f t="shared" si="3"/>
        <v>2.3108813197386153</v>
      </c>
      <c r="J42" s="8">
        <f t="shared" si="3"/>
        <v>2.4213946659977612</v>
      </c>
      <c r="K42" s="8">
        <f t="shared" si="3"/>
        <v>2.5319080122569075</v>
      </c>
      <c r="L42" s="8">
        <f t="shared" si="3"/>
        <v>2.6424213585160539</v>
      </c>
      <c r="M42" s="8">
        <f t="shared" si="3"/>
        <v>2.7529347047752002</v>
      </c>
      <c r="N42" s="8">
        <f t="shared" si="3"/>
        <v>2.8634480510343461</v>
      </c>
      <c r="O42" s="8">
        <f t="shared" si="3"/>
        <v>2.9739613972934924</v>
      </c>
    </row>
    <row r="43" spans="1:15" x14ac:dyDescent="0.25">
      <c r="B43" s="8">
        <f t="shared" ref="B43:O49" si="4">B30*$B$41</f>
        <v>1.4944204042999758</v>
      </c>
      <c r="C43" s="8">
        <f t="shared" si="4"/>
        <v>1.6049337505591219</v>
      </c>
      <c r="D43" s="8">
        <f t="shared" si="4"/>
        <v>1.7154470968182682</v>
      </c>
      <c r="E43" s="8">
        <f t="shared" si="4"/>
        <v>1.8259604430774146</v>
      </c>
      <c r="F43" s="8">
        <f t="shared" si="4"/>
        <v>1.9364737893365607</v>
      </c>
      <c r="G43" s="8">
        <f t="shared" si="4"/>
        <v>2.0469871355957068</v>
      </c>
      <c r="H43" s="8">
        <f t="shared" si="4"/>
        <v>2.1575004818548531</v>
      </c>
      <c r="I43" s="8">
        <f t="shared" si="4"/>
        <v>2.2680138281139994</v>
      </c>
      <c r="J43" s="8">
        <f t="shared" si="4"/>
        <v>2.3785271743731453</v>
      </c>
      <c r="K43" s="8">
        <f t="shared" si="4"/>
        <v>2.4890405206322916</v>
      </c>
      <c r="L43" s="8">
        <f t="shared" si="4"/>
        <v>2.599553866891438</v>
      </c>
      <c r="M43" s="8">
        <f t="shared" si="4"/>
        <v>2.7100672131505843</v>
      </c>
      <c r="N43" s="8">
        <f t="shared" si="4"/>
        <v>2.8205805594097302</v>
      </c>
      <c r="O43" s="8">
        <f t="shared" si="4"/>
        <v>2.9310939056688765</v>
      </c>
    </row>
    <row r="44" spans="1:15" x14ac:dyDescent="0.25">
      <c r="B44" s="8">
        <f t="shared" si="4"/>
        <v>1.4373761103211276</v>
      </c>
      <c r="C44" s="8">
        <f t="shared" si="4"/>
        <v>1.5478894565802737</v>
      </c>
      <c r="D44" s="8">
        <f t="shared" si="4"/>
        <v>1.65840280283942</v>
      </c>
      <c r="E44" s="8">
        <f t="shared" si="4"/>
        <v>1.7689161490985665</v>
      </c>
      <c r="F44" s="8">
        <f t="shared" si="4"/>
        <v>1.8794294953577126</v>
      </c>
      <c r="G44" s="8">
        <f t="shared" si="4"/>
        <v>1.9899428416168585</v>
      </c>
      <c r="H44" s="8">
        <f t="shared" si="4"/>
        <v>2.1004561878760049</v>
      </c>
      <c r="I44" s="8">
        <f t="shared" si="4"/>
        <v>2.2109695341351512</v>
      </c>
      <c r="J44" s="8">
        <f t="shared" si="4"/>
        <v>2.3214828803942971</v>
      </c>
      <c r="K44" s="8">
        <f t="shared" si="4"/>
        <v>2.4319962266534434</v>
      </c>
      <c r="L44" s="8">
        <f t="shared" si="4"/>
        <v>2.5425095729125897</v>
      </c>
      <c r="M44" s="8">
        <f t="shared" si="4"/>
        <v>2.6530229191717365</v>
      </c>
      <c r="N44" s="8">
        <f t="shared" si="4"/>
        <v>2.7635362654308819</v>
      </c>
      <c r="O44" s="8">
        <f t="shared" si="4"/>
        <v>2.8740496116900287</v>
      </c>
    </row>
    <row r="45" spans="1:15" x14ac:dyDescent="0.25">
      <c r="B45" s="8">
        <f t="shared" si="4"/>
        <v>1.3614665725287018</v>
      </c>
      <c r="C45" s="8">
        <f t="shared" si="4"/>
        <v>1.471979918787848</v>
      </c>
      <c r="D45" s="8">
        <f t="shared" si="4"/>
        <v>1.5824932650469941</v>
      </c>
      <c r="E45" s="8">
        <f t="shared" si="4"/>
        <v>1.6930066113061404</v>
      </c>
      <c r="F45" s="8">
        <f t="shared" si="4"/>
        <v>1.8035199575652867</v>
      </c>
      <c r="G45" s="8">
        <f t="shared" si="4"/>
        <v>1.9140333038244328</v>
      </c>
      <c r="H45" s="8">
        <f t="shared" si="4"/>
        <v>2.0245466500835789</v>
      </c>
      <c r="I45" s="8">
        <f t="shared" si="4"/>
        <v>2.1350599963427253</v>
      </c>
      <c r="J45" s="8">
        <f t="shared" si="4"/>
        <v>2.2455733426018716</v>
      </c>
      <c r="K45" s="8">
        <f t="shared" si="4"/>
        <v>2.3560866888610179</v>
      </c>
      <c r="L45" s="8">
        <f t="shared" si="4"/>
        <v>2.4666000351201638</v>
      </c>
      <c r="M45" s="8">
        <f t="shared" si="4"/>
        <v>2.5771133813793101</v>
      </c>
      <c r="N45" s="8">
        <f t="shared" si="4"/>
        <v>2.6876267276384564</v>
      </c>
      <c r="O45" s="8">
        <f t="shared" si="4"/>
        <v>2.7981400738976023</v>
      </c>
    </row>
    <row r="46" spans="1:15" x14ac:dyDescent="0.25">
      <c r="B46" s="8">
        <f t="shared" si="4"/>
        <v>1.2604528246857303</v>
      </c>
      <c r="C46" s="8">
        <f t="shared" si="4"/>
        <v>1.3709661709448766</v>
      </c>
      <c r="D46" s="8">
        <f t="shared" si="4"/>
        <v>1.4814795172040227</v>
      </c>
      <c r="E46" s="8">
        <f t="shared" si="4"/>
        <v>1.591992863463169</v>
      </c>
      <c r="F46" s="8">
        <f t="shared" si="4"/>
        <v>1.7025062097223151</v>
      </c>
      <c r="G46" s="8">
        <f t="shared" si="4"/>
        <v>1.8130195559814615</v>
      </c>
      <c r="H46" s="8">
        <f t="shared" si="4"/>
        <v>1.9235329022406076</v>
      </c>
      <c r="I46" s="8">
        <f t="shared" si="4"/>
        <v>2.0340462484997541</v>
      </c>
      <c r="J46" s="8">
        <f t="shared" si="4"/>
        <v>2.1445595947589</v>
      </c>
      <c r="K46" s="8">
        <f t="shared" si="4"/>
        <v>2.2550729410180463</v>
      </c>
      <c r="L46" s="8">
        <f t="shared" si="4"/>
        <v>2.3655862872771927</v>
      </c>
      <c r="M46" s="8">
        <f t="shared" si="4"/>
        <v>2.476099633536339</v>
      </c>
      <c r="N46" s="8">
        <f t="shared" si="4"/>
        <v>2.5866129797954849</v>
      </c>
      <c r="O46" s="8">
        <f t="shared" si="4"/>
        <v>2.6971263260546312</v>
      </c>
    </row>
    <row r="47" spans="1:15" x14ac:dyDescent="0.25">
      <c r="B47" s="8">
        <f t="shared" si="4"/>
        <v>1.1260325983212172</v>
      </c>
      <c r="C47" s="8">
        <f t="shared" si="4"/>
        <v>1.2365459445803633</v>
      </c>
      <c r="D47" s="8">
        <f t="shared" si="4"/>
        <v>1.3470592908395094</v>
      </c>
      <c r="E47" s="8">
        <f t="shared" si="4"/>
        <v>1.4575726370986557</v>
      </c>
      <c r="F47" s="8">
        <f t="shared" si="4"/>
        <v>1.5680859833578022</v>
      </c>
      <c r="G47" s="8">
        <f t="shared" si="4"/>
        <v>1.6785993296169484</v>
      </c>
      <c r="H47" s="8">
        <f t="shared" si="4"/>
        <v>1.7891126758760942</v>
      </c>
      <c r="I47" s="8">
        <f t="shared" si="4"/>
        <v>1.8996260221352408</v>
      </c>
      <c r="J47" s="8">
        <f t="shared" si="4"/>
        <v>2.0101393683943867</v>
      </c>
      <c r="K47" s="8">
        <f t="shared" si="4"/>
        <v>2.120652714653533</v>
      </c>
      <c r="L47" s="8">
        <f t="shared" si="4"/>
        <v>2.2311660609126793</v>
      </c>
      <c r="M47" s="8">
        <f t="shared" si="4"/>
        <v>2.3416794071718257</v>
      </c>
      <c r="N47" s="8">
        <f t="shared" si="4"/>
        <v>2.452192753430972</v>
      </c>
      <c r="O47" s="8">
        <f t="shared" si="4"/>
        <v>2.5627060996901179</v>
      </c>
    </row>
    <row r="48" spans="1:15" x14ac:dyDescent="0.25">
      <c r="B48" s="8">
        <f t="shared" si="4"/>
        <v>0.9471579635143258</v>
      </c>
      <c r="C48" s="8">
        <f t="shared" si="4"/>
        <v>1.0576713097734718</v>
      </c>
      <c r="D48" s="8">
        <f t="shared" si="4"/>
        <v>1.1681846560326181</v>
      </c>
      <c r="E48" s="8">
        <f t="shared" si="4"/>
        <v>1.2786980022917642</v>
      </c>
      <c r="F48" s="8">
        <f t="shared" si="4"/>
        <v>1.3892113485509108</v>
      </c>
      <c r="G48" s="8">
        <f t="shared" si="4"/>
        <v>1.4997246948100569</v>
      </c>
      <c r="H48" s="8">
        <f t="shared" si="4"/>
        <v>1.6102380410692028</v>
      </c>
      <c r="I48" s="8">
        <f t="shared" si="4"/>
        <v>1.7207513873283493</v>
      </c>
      <c r="J48" s="8">
        <f t="shared" si="4"/>
        <v>1.8312647335874954</v>
      </c>
      <c r="K48" s="8">
        <f t="shared" si="4"/>
        <v>1.9417780798466417</v>
      </c>
      <c r="L48" s="8">
        <f t="shared" si="4"/>
        <v>2.0522914261057879</v>
      </c>
      <c r="M48" s="8">
        <f t="shared" si="4"/>
        <v>2.1628047723649342</v>
      </c>
      <c r="N48" s="8">
        <f t="shared" si="4"/>
        <v>2.2733181186240801</v>
      </c>
      <c r="O48" s="8">
        <f t="shared" si="4"/>
        <v>2.3838314648832264</v>
      </c>
    </row>
    <row r="49" spans="2:15" x14ac:dyDescent="0.25">
      <c r="B49" s="8">
        <f t="shared" si="4"/>
        <v>0.70912730516285494</v>
      </c>
      <c r="C49" s="8">
        <f t="shared" si="4"/>
        <v>0.81964065142200115</v>
      </c>
      <c r="D49" s="8">
        <f t="shared" si="4"/>
        <v>0.93015399768114737</v>
      </c>
      <c r="E49" s="8">
        <f t="shared" si="4"/>
        <v>1.0406673439402936</v>
      </c>
      <c r="F49" s="8">
        <f t="shared" si="4"/>
        <v>1.1511806901994399</v>
      </c>
      <c r="G49" s="8">
        <f t="shared" si="4"/>
        <v>1.261694036458586</v>
      </c>
      <c r="H49" s="8">
        <f t="shared" si="4"/>
        <v>1.3722073827177321</v>
      </c>
      <c r="I49" s="8">
        <f t="shared" si="4"/>
        <v>1.4827207289768787</v>
      </c>
      <c r="J49" s="8">
        <f t="shared" si="4"/>
        <v>1.5932340752360246</v>
      </c>
      <c r="K49" s="8">
        <f t="shared" si="4"/>
        <v>1.7037474214951711</v>
      </c>
      <c r="L49" s="8">
        <f t="shared" si="4"/>
        <v>1.8142607677543172</v>
      </c>
      <c r="M49" s="8">
        <f t="shared" si="4"/>
        <v>1.9247741140134635</v>
      </c>
      <c r="N49" s="8">
        <f t="shared" si="4"/>
        <v>2.0352874602726096</v>
      </c>
      <c r="O49" s="8">
        <f t="shared" si="4"/>
        <v>2.1458008065317555</v>
      </c>
    </row>
  </sheetData>
  <conditionalFormatting sqref="B29:O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UpdateAviaData">
                <anchor moveWithCells="1" sizeWithCells="1">
                  <from>
                    <xdr:col>19</xdr:col>
                    <xdr:colOff>38100</xdr:colOff>
                    <xdr:row>1</xdr:row>
                    <xdr:rowOff>19050</xdr:rowOff>
                  </from>
                  <to>
                    <xdr:col>21</xdr:col>
                    <xdr:colOff>152400</xdr:colOff>
                    <xdr:row>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Button 2">
              <controlPr defaultSize="0" print="0" autoFill="0" autoPict="0" macro="[1]!UpdateRZDData">
                <anchor moveWithCells="1" sizeWithCells="1">
                  <from>
                    <xdr:col>19</xdr:col>
                    <xdr:colOff>38100</xdr:colOff>
                    <xdr:row>3</xdr:row>
                    <xdr:rowOff>47625</xdr:rowOff>
                  </from>
                  <to>
                    <xdr:col>21</xdr:col>
                    <xdr:colOff>171450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Drop Down 3">
              <controlPr defaultSize="0" autoLine="0" autoPict="0">
                <anchor moveWithCells="1">
                  <from>
                    <xdr:col>1</xdr:col>
                    <xdr:colOff>9525</xdr:colOff>
                    <xdr:row>1</xdr:row>
                    <xdr:rowOff>0</xdr:rowOff>
                  </from>
                  <to>
                    <xdr:col>3</xdr:col>
                    <xdr:colOff>304800</xdr:colOff>
                    <xdr:row>1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Drop Down 4">
              <controlPr defaultSize="0" autoLine="0" autoPict="0">
                <anchor moveWithCells="1">
                  <from>
                    <xdr:col>1</xdr:col>
                    <xdr:colOff>9525</xdr:colOff>
                    <xdr:row>2</xdr:row>
                    <xdr:rowOff>28575</xdr:rowOff>
                  </from>
                  <to>
                    <xdr:col>1</xdr:col>
                    <xdr:colOff>1143000</xdr:colOff>
                    <xdr:row>2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Тамерлан Кабалоев</dc:creator>
  <cp:lastModifiedBy>Тамерлан Кабалоев</cp:lastModifiedBy>
  <dcterms:created xsi:type="dcterms:W3CDTF">2025-11-07T12:41:55Z</dcterms:created>
  <dcterms:modified xsi:type="dcterms:W3CDTF">2025-11-07T12:44:14Z</dcterms:modified>
</cp:coreProperties>
</file>